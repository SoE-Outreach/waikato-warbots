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alicia_sim_waikato_ac_nz/Documents/Outreach/PTC Workshop/Bot Fighting Activity/"/>
    </mc:Choice>
  </mc:AlternateContent>
  <xr:revisionPtr revIDLastSave="72" documentId="8_{4A0D56F7-56AF-4DA5-8A6F-DCBFB5828DF8}" xr6:coauthVersionLast="47" xr6:coauthVersionMax="47" xr10:uidLastSave="{EACB92D1-D337-477E-A252-E7C9BD4BB74B}"/>
  <bookViews>
    <workbookView xWindow="-96" yWindow="-96" windowWidth="23232" windowHeight="12432" xr2:uid="{B42DF429-018F-44FA-9ED2-5EC0301BD1E8}"/>
  </bookViews>
  <sheets>
    <sheet name="Sheet1" sheetId="1" r:id="rId1"/>
    <sheet name="Fasten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4" i="1" l="1"/>
  <c r="F63" i="1"/>
  <c r="F62" i="1"/>
  <c r="F32" i="1"/>
  <c r="F19" i="1"/>
  <c r="F12" i="1"/>
  <c r="F2" i="1"/>
  <c r="F20" i="1"/>
  <c r="F10" i="1"/>
  <c r="F49" i="1"/>
  <c r="F33" i="1"/>
  <c r="F50" i="1"/>
  <c r="F34" i="1"/>
  <c r="F21" i="1"/>
  <c r="F35" i="1"/>
  <c r="F36" i="1"/>
  <c r="F37" i="1"/>
  <c r="F22" i="1"/>
  <c r="F11" i="1"/>
  <c r="F38" i="1"/>
  <c r="F39" i="1"/>
  <c r="F40" i="1"/>
  <c r="F41" i="1"/>
  <c r="F13" i="1"/>
  <c r="F42" i="1"/>
  <c r="F14" i="1"/>
  <c r="F15" i="1"/>
  <c r="F3" i="1"/>
  <c r="F51" i="1"/>
  <c r="F23" i="1"/>
  <c r="F24" i="1"/>
  <c r="F25" i="1"/>
  <c r="F4" i="1"/>
  <c r="F26" i="1"/>
  <c r="F44" i="1"/>
  <c r="F52" i="1"/>
  <c r="F53" i="1"/>
  <c r="F54" i="1"/>
  <c r="F55" i="1"/>
  <c r="F56" i="1"/>
  <c r="F45" i="1"/>
  <c r="F27" i="1"/>
  <c r="F28" i="1"/>
  <c r="F29" i="1"/>
  <c r="F30" i="1"/>
  <c r="F43" i="1"/>
  <c r="F46" i="1"/>
  <c r="F16" i="1"/>
  <c r="F57" i="1"/>
  <c r="F58" i="1"/>
  <c r="F59" i="1"/>
  <c r="F60" i="1"/>
  <c r="F17" i="1"/>
  <c r="F61" i="1"/>
  <c r="F5" i="1"/>
  <c r="F6" i="1"/>
  <c r="F7" i="1"/>
  <c r="F47" i="1"/>
  <c r="F48" i="1"/>
  <c r="F31" i="1"/>
  <c r="F8" i="1"/>
  <c r="F9" i="1"/>
  <c r="F18" i="1"/>
</calcChain>
</file>

<file path=xl/sharedStrings.xml><?xml version="1.0" encoding="utf-8"?>
<sst xmlns="http://schemas.openxmlformats.org/spreadsheetml/2006/main" count="421" uniqueCount="229">
  <si>
    <t>Categories</t>
  </si>
  <si>
    <t>Description</t>
  </si>
  <si>
    <t>Dimension</t>
  </si>
  <si>
    <r>
      <t xml:space="preserve">Qty </t>
    </r>
    <r>
      <rPr>
        <b/>
        <sz val="8"/>
        <color theme="1"/>
        <rFont val="Aptos Narrow"/>
        <family val="2"/>
        <scheme val="minor"/>
      </rPr>
      <t>Purchased</t>
    </r>
  </si>
  <si>
    <t>Cost</t>
  </si>
  <si>
    <t>Cost ea</t>
  </si>
  <si>
    <t>Qty per Kit</t>
  </si>
  <si>
    <t>Cost Per Kit</t>
  </si>
  <si>
    <t>Supplier</t>
  </si>
  <si>
    <t>Link</t>
  </si>
  <si>
    <t>Financial Coding</t>
  </si>
  <si>
    <t>Arena</t>
  </si>
  <si>
    <t>6 Gang switch panel</t>
  </si>
  <si>
    <t>Blue LED</t>
  </si>
  <si>
    <t>Aliexpress</t>
  </si>
  <si>
    <t>https://www.aliexpress.com/item/1005005789137816.html?spm=a2g0o.order_list.order_list_main.23.21ef1802LCeRv2</t>
  </si>
  <si>
    <t>PTC</t>
  </si>
  <si>
    <t>4x2 MAX7219 Dot matrix Display</t>
  </si>
  <si>
    <t>8 bit</t>
  </si>
  <si>
    <t>https://www.aliexpress.com/item/1005006656776023.html?spm=a2g0o.order_list.order_list_main.251.21ef1802LCeRv2</t>
  </si>
  <si>
    <t>N200-V5 40A ACDC PSU</t>
  </si>
  <si>
    <t>200V</t>
  </si>
  <si>
    <t>https://www.aliexpress.com/item/1005007048247079.html?spm=a2g0o.order_list.order_list_main.281.21ef1802LCeRv2</t>
  </si>
  <si>
    <t>Pine moulding</t>
  </si>
  <si>
    <t>40x18</t>
  </si>
  <si>
    <t>Mitre 10</t>
  </si>
  <si>
    <t>Pine Radiata Board</t>
  </si>
  <si>
    <t>140x19</t>
  </si>
  <si>
    <t>Ply 12mm</t>
  </si>
  <si>
    <t>1200x1195</t>
  </si>
  <si>
    <t>Arena Graphics Printing</t>
  </si>
  <si>
    <t>1200x1200</t>
  </si>
  <si>
    <t>PCL Group</t>
  </si>
  <si>
    <t>Quote 306969</t>
  </si>
  <si>
    <t>T-Slot Aluminium 2020 Extrude</t>
  </si>
  <si>
    <t>400mm</t>
  </si>
  <si>
    <t>Temu</t>
  </si>
  <si>
    <t>https://www.temu.com/goods.html?_bg_fs=1&amp;goods_id=601099546944565&amp;sku_id=17592345757973&amp;_x_sessn_id=mh1ck8gbv5&amp;refer_page_name=bgt_order_detail&amp;refer_page_id=10045_1738034477670_tzzuooq5vc&amp;refer_page_sn=10045</t>
  </si>
  <si>
    <t>Battery Management</t>
  </si>
  <si>
    <t>LiPo Bag</t>
  </si>
  <si>
    <t>185x75x60</t>
  </si>
  <si>
    <t>https://www.aliexpress.com/item/1005005136387769.html?spm=a2g0o.order_list.order_list_main.35.21ef1802LCeRv2</t>
  </si>
  <si>
    <t>Li Battery Capacity Indicator Display</t>
  </si>
  <si>
    <t>Green LED</t>
  </si>
  <si>
    <t>https://www.aliexpress.com/item/1005007039703061.html?spm=a2g0o.order_list.order_list_main.95.21ef1802LCeRv2</t>
  </si>
  <si>
    <t>Consumable</t>
  </si>
  <si>
    <t>Neon Gaffer Cloth Tape</t>
  </si>
  <si>
    <t>5m long</t>
  </si>
  <si>
    <t>https://www.aliexpress.com/item/1005006770774177.html?spm=a2g0o.order_list.order_list_main.17.21ef1802LCeRv2</t>
  </si>
  <si>
    <t>consumable</t>
  </si>
  <si>
    <t>JST 2 pin Male Female Connector Kit</t>
  </si>
  <si>
    <t>300 pcs</t>
  </si>
  <si>
    <t>https://www.aliexpress.com/item/1005007499606924.html?spm=a2g0o.order_list.order_list_main.125.21ef1802LCeRv2</t>
  </si>
  <si>
    <t>JST plug Male and Female pair</t>
  </si>
  <si>
    <t>100mm</t>
  </si>
  <si>
    <t>https://www.aliexpress.com/item/1005004085214518.html?spm=a2g0o.order_list.order_list_main.227.21ef1802LCeRv2</t>
  </si>
  <si>
    <t>Double sided tape</t>
  </si>
  <si>
    <t>3m 30mmW</t>
  </si>
  <si>
    <t>https://www.aliexpress.com/item/1005006957314732.html?spm=a2g0o.order_list.order_list_main.245.21ef1802LCeRv2</t>
  </si>
  <si>
    <t>Cardboard Roll</t>
  </si>
  <si>
    <t>900mmx5m</t>
  </si>
  <si>
    <t>Masking tape</t>
  </si>
  <si>
    <t>16mm x 27m</t>
  </si>
  <si>
    <t>Fasteners M3</t>
  </si>
  <si>
    <t>Various Sizes</t>
  </si>
  <si>
    <t>Steel and Tube</t>
  </si>
  <si>
    <t>Robot</t>
  </si>
  <si>
    <t>Double wire plug-in connector</t>
  </si>
  <si>
    <t>2 to 2</t>
  </si>
  <si>
    <t>https://www.aliexpress.com/item/1005007052469671.html?spm=a2g0o.order_list.order_list_main.11.21ef1802LCeRv2</t>
  </si>
  <si>
    <t>2 pin electrical wire</t>
  </si>
  <si>
    <t>20m 22awg</t>
  </si>
  <si>
    <t>https://www.aliexpress.com/item/1005007011796660.html?spm=a2g0o.order_list.order_list_main.29.21ef1802LCeRv2</t>
  </si>
  <si>
    <t>6-spoke foam wheel</t>
  </si>
  <si>
    <t>D50 hole3mm</t>
  </si>
  <si>
    <t>https://www.aliexpress.com/item/1005006048532171.html?spm=a2g0o.order_list.order_list_main.65.21ef1802LCeRv2</t>
  </si>
  <si>
    <t>https://www.aliexpress.com/item/1005004085214518.html?spm=a2g0o.order_list.order_list_main.89.21ef1802LCeRv2</t>
  </si>
  <si>
    <t>Rocker switch 2pin</t>
  </si>
  <si>
    <t>SPST</t>
  </si>
  <si>
    <t>https://www.aliexpress.com/item/1005006005552235.html?spm=a2g0o.order_list.order_list_main.263.21ef1802LCeRv2</t>
  </si>
  <si>
    <t>BLDC +  30A ESC</t>
  </si>
  <si>
    <t>A2208 KV1100</t>
  </si>
  <si>
    <t>https://www.aliexpress.com/item/1005008013881794.html?spm=a2g0o.order_list.order_list_main.269.21ef1802LCeRv2</t>
  </si>
  <si>
    <t>Brushed ESC Dual way Bidirectional</t>
  </si>
  <si>
    <t>5Ax2 PRO with BEC</t>
  </si>
  <si>
    <t>https://www.aliexpress.com/item/33008316502.html?spm=a2g0o.order_list.order_list_main.275.21ef1802LCeRv2</t>
  </si>
  <si>
    <t>Hobbywing Skywalker ESC</t>
  </si>
  <si>
    <t>12A w/ BEC</t>
  </si>
  <si>
    <t>https://www.aliexpress.com/item/1005006863935613.html?spm=a2g0o.order_list.order_list_main.299.21ef1802LCeRv2</t>
  </si>
  <si>
    <t>miniQ car Wheel for N20</t>
  </si>
  <si>
    <t>black 34x7mm</t>
  </si>
  <si>
    <t>https://www.aliexpress.com/item/1005006354490184.html?spm=a2g0o.order_list.order_list_main.455.21ef1802LCeRv2</t>
  </si>
  <si>
    <t>MG90s Servo 360</t>
  </si>
  <si>
    <t>https://www.aliexpress.com/item/1005006219266362.html?spm=a2g0o.order_list.order_list_main.465.21ef1802LCeRv2</t>
  </si>
  <si>
    <t>N20 Motor</t>
  </si>
  <si>
    <t>6V 1000rpm</t>
  </si>
  <si>
    <t>https://www.aliexpress.com/item/33022320164.html?spm=a2g0o.order_list.order_list_main.470.21ef1802LCeRv2</t>
  </si>
  <si>
    <t>Caster wheel</t>
  </si>
  <si>
    <t>https://www.aliexpress.com/item/1005006889422623.html?spm=a2g0o.order_list.order_list_main.495.21ef1802LCeRv2</t>
  </si>
  <si>
    <t>LiPo Battery</t>
  </si>
  <si>
    <t>2S 7.4V 900mAh 25C</t>
  </si>
  <si>
    <t>MindKits</t>
  </si>
  <si>
    <t>MK-752560</t>
  </si>
  <si>
    <t>Insulating Tape</t>
  </si>
  <si>
    <t>15mm width</t>
  </si>
  <si>
    <t>https://www.aliexpress.com/item/1005007353345200.html?spm=a2g0o.order_list.order_list_main.5.21ef1802LCeRv2</t>
  </si>
  <si>
    <t>ToolkitRC MC8 SC100 Battery Checker</t>
  </si>
  <si>
    <t>https://www.aliexpress.com/item/1005006297437096.html?spm=a2g0o.order_list.order_list_main.47.21ef1802LCeRv2</t>
  </si>
  <si>
    <t>SoE</t>
  </si>
  <si>
    <t>Metal Ammo Case</t>
  </si>
  <si>
    <t xml:space="preserve">30cal </t>
  </si>
  <si>
    <t>https://www.aliexpress.com/item/1005001423048024.html?spm=a2g0o.order_list.order_list_main.59.21ef1802LCeRv2</t>
  </si>
  <si>
    <t>XT60 Cable extension</t>
  </si>
  <si>
    <t>F to M 30cm</t>
  </si>
  <si>
    <t>https://www.aliexpress.com/item/1005005865785660.html?spm=a2g0o.order_list.order_list_main.71.21ef1802LCeRv2</t>
  </si>
  <si>
    <t>XH 6s extension cable</t>
  </si>
  <si>
    <t>30cm</t>
  </si>
  <si>
    <t>https://www.aliexpress.com/item/1005006201879365.html?spm=a2g0o.order_list.order_list_main.77.21ef1802LCeRv2</t>
  </si>
  <si>
    <t>20cm</t>
  </si>
  <si>
    <t>https://www.aliexpress.com/item/1005006201879365.html?spm=a2g0o.order_list.order_list_main.83.21ef1802LCeRv2</t>
  </si>
  <si>
    <t>HOTA D6 Pro</t>
  </si>
  <si>
    <t>Blue</t>
  </si>
  <si>
    <t>https://www.aliexpress.com/item/1005008142429403.html?spm=a2g0o.order_list.order_list_main.101.21ef1802LCeRv2</t>
  </si>
  <si>
    <t>HGLRC Thor 6 Pro Balance Charger Board</t>
  </si>
  <si>
    <t>https://www.aliexpress.com/item/1005006739784824.html?spm=a2g0o.order_list.order_list_main.107.21ef1802LCeRv2</t>
  </si>
  <si>
    <t>Battery adaptor cable</t>
  </si>
  <si>
    <t>XT60-F to JST-F</t>
  </si>
  <si>
    <t>https://www.aliexpress.com/item/1005004845479589.html?spm=a2g0o.order_list.order_list_main.113.21ef1802LCeRv2</t>
  </si>
  <si>
    <t>C7 2-pin power cable AC AU Plug</t>
  </si>
  <si>
    <t>1.2m</t>
  </si>
  <si>
    <t>https://www.aliexpress.com/item/1005007194926967.html?spm=a2g0o.order_list.order_list_main.119.21ef1802LCeRv2</t>
  </si>
  <si>
    <t>BAT Safe</t>
  </si>
  <si>
    <t>Medium</t>
  </si>
  <si>
    <t>https://www.aliexpress.com/item/1005004587258630.html?spm=a2g0o.order_list.order_list_main.131.21ef1802LCeRv2</t>
  </si>
  <si>
    <t>BBQ tongs</t>
  </si>
  <si>
    <t>45cm</t>
  </si>
  <si>
    <t>https://www.aliexpress.com/item/1005008360755178.html?spm=a2g0o.order_list.order_list_main.547.21ef1802LCeRv2</t>
  </si>
  <si>
    <t>Radio Control</t>
  </si>
  <si>
    <t>Flysky Receiver</t>
  </si>
  <si>
    <t>IA6B</t>
  </si>
  <si>
    <t>https://www.aliexpress.com/item/1005006686643097.html?spm=a2g0o.order_list.order_list_main.359.21ef1802LCeRv2</t>
  </si>
  <si>
    <t>Flysky Controller + Receiver</t>
  </si>
  <si>
    <t>I6X-Model 2 + IA6B</t>
  </si>
  <si>
    <t>https://www.aliexpress.com/item/1005006102515851.html?spm=a2g0o.order_list.order_list_main.475.21ef1802LCeRv2</t>
  </si>
  <si>
    <t>Flysky Controller</t>
  </si>
  <si>
    <t>I6X-Model 2</t>
  </si>
  <si>
    <t>https://www.aliexpress.com/item/1005006102515851.html?spm=a2g0o.order_list.order_list_main.896.21ef1802LCeRv2</t>
  </si>
  <si>
    <t>HD Storage Bin</t>
  </si>
  <si>
    <t>100L</t>
  </si>
  <si>
    <t>Bunnings</t>
  </si>
  <si>
    <t>#0406871</t>
  </si>
  <si>
    <t>Sponge Overlay DBL</t>
  </si>
  <si>
    <t>40mm</t>
  </si>
  <si>
    <t>#010329</t>
  </si>
  <si>
    <t>Tool Kit</t>
  </si>
  <si>
    <t>Woodworking clamp</t>
  </si>
  <si>
    <t>2 inch</t>
  </si>
  <si>
    <t>https://www.aliexpress.com/item/1005007488107647.html?spm=a2g0o.order_list.order_list_main.41.21ef1802LCeRv2</t>
  </si>
  <si>
    <t>4 inch</t>
  </si>
  <si>
    <t>https://www.aliexpress.com/item/1005008332727663.html?spm=a2g0o.order_list.order_list_main.53.21ef1802LCeRv2</t>
  </si>
  <si>
    <t>Stainless Steel Ruler</t>
  </si>
  <si>
    <t>300mm</t>
  </si>
  <si>
    <t>https://www.aliexpress.com/item/1005006471216431.html?spm=a2g0o.order_list.order_list_main.257.21ef1802LCeRv2</t>
  </si>
  <si>
    <t>Cutting Mat</t>
  </si>
  <si>
    <t>A4</t>
  </si>
  <si>
    <t>https://www.aliexpress.com/item/1005005945067372.html?spm=a2g0o.order_list.order_list_main.369.21ef1802LCeRv2</t>
  </si>
  <si>
    <t>Hex Screwdriver Kit + wrench</t>
  </si>
  <si>
    <t>7pcs + 1</t>
  </si>
  <si>
    <t>https://www.aliexpress.com/item/1005007317072939.html?spm=a2g0o.order_list.order_list_main.374.21ef1802LCeRv2</t>
  </si>
  <si>
    <t>Double Sided Hardware Organiser</t>
  </si>
  <si>
    <t>orange</t>
  </si>
  <si>
    <t>https://www.aliexpress.com/item/1005006997963863.html?spm=a2g0o.order_list.order_list_main.380.21ef1802LCeRv2</t>
  </si>
  <si>
    <t>small wrench</t>
  </si>
  <si>
    <t>B</t>
  </si>
  <si>
    <t>https://www.aliexpress.com/item/1005007211540927.html?spm=a2g0o.order_list.order_list_main.395.21ef1802LCeRv2</t>
  </si>
  <si>
    <t xml:space="preserve">Hex Screwdriver Kit </t>
  </si>
  <si>
    <t>7pcs</t>
  </si>
  <si>
    <t>https://www.aliexpress.com/item/1005005730540572.html?spm=a2g0o.order_list.order_list_main.400.21ef1802LCeRv2</t>
  </si>
  <si>
    <t>Scissors</t>
  </si>
  <si>
    <t>5pce set</t>
  </si>
  <si>
    <t>Snap Blade stanley</t>
  </si>
  <si>
    <t>9mm</t>
  </si>
  <si>
    <t>Snap Blade Fuller</t>
  </si>
  <si>
    <t>Snap Blade scotch</t>
  </si>
  <si>
    <t>Modular Storage Box</t>
  </si>
  <si>
    <t>8L</t>
  </si>
  <si>
    <t>Column1</t>
  </si>
  <si>
    <t>Column2</t>
  </si>
  <si>
    <t>Bulk Qty</t>
  </si>
  <si>
    <t>ChemECar</t>
  </si>
  <si>
    <t>12</t>
  </si>
  <si>
    <t>16</t>
  </si>
  <si>
    <t>Cost2</t>
  </si>
  <si>
    <t>Iris Box</t>
  </si>
  <si>
    <t>50</t>
  </si>
  <si>
    <t>Cost3</t>
  </si>
  <si>
    <t>Mez</t>
  </si>
  <si>
    <t>Cost4</t>
  </si>
  <si>
    <t>Total Qty to order</t>
  </si>
  <si>
    <t>QTY available From supplier</t>
  </si>
  <si>
    <t>total cost</t>
  </si>
  <si>
    <t>M3 x 6mm Cap Head Socket Screw CL 12.9 Zinc Plate (100) CAPM36Z</t>
  </si>
  <si>
    <t>P0104688</t>
  </si>
  <si>
    <t xml:space="preserve">$-   </t>
  </si>
  <si>
    <t>M3 x 8mm Cap Head Socket Screw CL 12.9 Zinc Plate (100) CAPM38Z</t>
  </si>
  <si>
    <t>P0019084</t>
  </si>
  <si>
    <t>M3 x 10mm Cap Head Socket Screw CL 12.9 Zinc Plate (100) CAPM310Z</t>
  </si>
  <si>
    <t>P0104681</t>
  </si>
  <si>
    <t>M3 x 12mm Cap Head Socket Screw CL 12.9 Zinc Plate (100) CAPM312Z</t>
  </si>
  <si>
    <t>P0104682</t>
  </si>
  <si>
    <t>M3 x 16mm Cap Head Socket Screw CL 12.9 Zinc Plate (100) CAPM316Z</t>
  </si>
  <si>
    <t>P0104683</t>
  </si>
  <si>
    <t>M3 x 20mm Cap Head Socket Screw CL 12.9 Zinc Plate (100) CAPM320Z</t>
  </si>
  <si>
    <t>P0104684</t>
  </si>
  <si>
    <t>M3 x 25mm Cap Head Socket Screw CL 12.9 Zinc Plate (100) CAPM325Z</t>
  </si>
  <si>
    <t xml:space="preserve">P0104685 </t>
  </si>
  <si>
    <t>3mm x 7mm x 0.6mm Round Flat Washer Zinc Plate (200) WM37Z</t>
  </si>
  <si>
    <t>P0030070</t>
  </si>
  <si>
    <t>M3 Hex Full Nut Zinc Plate (200) NHFSM3Z</t>
  </si>
  <si>
    <t>P0030073</t>
  </si>
  <si>
    <t>M3 Nyloc Nut Zinc Plate (100) NYLM3Z</t>
  </si>
  <si>
    <t>P0030075</t>
  </si>
  <si>
    <t>Drone Brushless Motor</t>
  </si>
  <si>
    <t>Spare Parts</t>
  </si>
  <si>
    <t>battery Management</t>
  </si>
  <si>
    <t>Polycarbonate side wall</t>
  </si>
  <si>
    <t>3mm 600x450mm</t>
  </si>
  <si>
    <t>Cambrian Plastic</t>
  </si>
  <si>
    <t>https://cambrianplastics.co.nz/product/polycarbonate-clear-cut-to-size/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</si>
</sst>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4" fontId="2" fillId="0" borderId="0" xfId="1" applyFont="1"/>
    <xf numFmtId="44" fontId="0" fillId="0" borderId="0" xfId="1" applyFont="1"/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6" fillId="0" borderId="0" xfId="0" applyFont="1"/>
    <xf numFmtId="8" fontId="6" fillId="0" borderId="0" xfId="0" applyNumberFormat="1" applyFont="1"/>
    <xf numFmtId="0" fontId="6" fillId="0" borderId="4" xfId="0" applyFont="1" applyBorder="1"/>
    <xf numFmtId="0" fontId="6" fillId="0" borderId="5" xfId="0" applyFont="1" applyBorder="1"/>
    <xf numFmtId="8" fontId="6" fillId="0" borderId="5" xfId="0" applyNumberFormat="1" applyFont="1" applyBorder="1"/>
    <xf numFmtId="0" fontId="6" fillId="0" borderId="6" xfId="0" applyFont="1" applyBorder="1"/>
    <xf numFmtId="0" fontId="6" fillId="0" borderId="7" xfId="0" applyFont="1" applyBorder="1"/>
    <xf numFmtId="0" fontId="4" fillId="0" borderId="0" xfId="2"/>
    <xf numFmtId="44" fontId="0" fillId="0" borderId="0" xfId="1" applyNumberFormat="1" applyFont="1"/>
  </cellXfs>
  <cellStyles count="3">
    <cellStyle name="Currency" xfId="1" builtinId="4"/>
    <cellStyle name="Hyperlink" xfId="2" builtinId="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2" formatCode="&quot;$&quot;#,##0.00;[Red]\-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2" formatCode="&quot;$&quot;#,##0.00;[Red]\-&quot;$&quot;#,##0.0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2" formatCode="&quot;$&quot;#,##0.00;[Red]\-&quot;$&quot;#,##0.0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2" formatCode="&quot;$&quot;#,##0.00;[Red]\-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ED9008-C32E-46D6-8658-F88EFB627EF0}" name="Table3" displayName="Table3" ref="A1:K63" totalsRowShown="0" headerRowDxfId="19">
  <autoFilter ref="A1:K63" xr:uid="{6BED9008-C32E-46D6-8658-F88EFB627EF0}"/>
  <sortState xmlns:xlrd2="http://schemas.microsoft.com/office/spreadsheetml/2017/richdata2" ref="A2:K61">
    <sortCondition ref="K1:K61"/>
  </sortState>
  <tableColumns count="11">
    <tableColumn id="1" xr3:uid="{E4EE0360-DCAB-4237-8832-7A5773F60968}" name="Categories"/>
    <tableColumn id="2" xr3:uid="{5FA22226-7F4F-4ACB-A3E4-7E707DBDC5C7}" name="Description"/>
    <tableColumn id="3" xr3:uid="{322E3DAD-69CC-40CA-9CAB-7386476D7918}" name="Dimension"/>
    <tableColumn id="4" xr3:uid="{D1402C10-86F3-4373-A986-CB02C19F92B5}" name="Qty Purchased"/>
    <tableColumn id="5" xr3:uid="{E231CEAD-05C6-4946-B4AD-ACC359E11554}" name="Cost" dataDxfId="18" dataCellStyle="Currency"/>
    <tableColumn id="6" xr3:uid="{BDD634B6-ACEA-4555-A7D0-E154F2271B66}" name="Cost ea" dataDxfId="17" dataCellStyle="Currency">
      <calculatedColumnFormula>Table3[[#This Row],[Cost]]/Table3[[#This Row],[Qty Purchased]]</calculatedColumnFormula>
    </tableColumn>
    <tableColumn id="7" xr3:uid="{2230BA9C-CF71-4689-990C-1CD7A29C28A1}" name="Qty per Kit"/>
    <tableColumn id="11" xr3:uid="{9EDAA035-8345-4BC0-ABD2-DBCC15918761}" name="Cost Per Kit"/>
    <tableColumn id="8" xr3:uid="{0960E4EF-763C-4B13-9B5C-DEE94C739AEA}" name="Supplier"/>
    <tableColumn id="9" xr3:uid="{A7B4784D-1907-4BCA-9CF7-CA3F37BC7778}" name="Link"/>
    <tableColumn id="10" xr3:uid="{3EEB3086-1230-4EBD-9DC9-FDCFA268B4A3}" name="Financial Cod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0F9781-0704-4039-A037-1D762DC14E42}" name="Table1" displayName="Table1" ref="A1:R12" totalsRowShown="0">
  <autoFilter ref="A1:R12" xr:uid="{330F9781-0704-4039-A037-1D762DC14E42}"/>
  <tableColumns count="18">
    <tableColumn id="1" xr3:uid="{29691EC5-9A8E-43C0-AE23-739D385C99C1}" name="Column1"/>
    <tableColumn id="2" xr3:uid="{E6D8DC80-D40A-498D-95F5-D473F7AE7E6B}" name="Column2" dataDxfId="16"/>
    <tableColumn id="3" xr3:uid="{C4520009-FEFF-42D6-B421-5459D06D3A3D}" name="Bulk Qty" dataDxfId="15"/>
    <tableColumn id="4" xr3:uid="{DA7DFD53-5C2C-40CB-A81D-659CFFCCD230}" name="Cost ea" dataDxfId="14"/>
    <tableColumn id="5" xr3:uid="{A1F82814-7B16-47C6-90D1-C97E65A98D50}" name="ChemECar" dataDxfId="13"/>
    <tableColumn id="6" xr3:uid="{D674E39F-487E-4A59-BEC7-6602C0A5D856}" name="12" dataDxfId="12"/>
    <tableColumn id="7" xr3:uid="{B99C1528-58B5-4CCE-9FBC-283A58AD7353}" name="Cost" dataDxfId="11"/>
    <tableColumn id="8" xr3:uid="{9F73C317-6ABD-44C0-ABC2-86F608D18171}" name="PTC" dataDxfId="10"/>
    <tableColumn id="9" xr3:uid="{F9EA5BED-B361-4914-95CB-35AB618EEC94}" name="16" dataDxfId="9"/>
    <tableColumn id="10" xr3:uid="{3BF9010D-C4E7-4C5E-807B-E5D27ECECC24}" name="Cost2" dataDxfId="8"/>
    <tableColumn id="11" xr3:uid="{51CC40AE-2236-4794-9D54-A22DE53D40AC}" name="Iris Box" dataDxfId="7"/>
    <tableColumn id="12" xr3:uid="{C0E09248-ADF1-447E-8FD5-39BD5EBE5455}" name="50" dataDxfId="6"/>
    <tableColumn id="13" xr3:uid="{DA1DF292-64FE-4698-A5FC-3C39B05ED385}" name="Cost3" dataDxfId="5"/>
    <tableColumn id="14" xr3:uid="{558F194A-4606-423E-B111-F0783D1867BD}" name="Mez" dataDxfId="4"/>
    <tableColumn id="15" xr3:uid="{FA1ECF84-CDD0-4CD1-B406-24F46E88E27F}" name="Cost4" dataDxfId="3"/>
    <tableColumn id="16" xr3:uid="{FD1AD9C1-7CCB-41DF-97B3-BB13B0133ACF}" name="Total Qty to order" dataDxfId="2"/>
    <tableColumn id="17" xr3:uid="{2EB28803-8598-4972-8F30-6FCB88459CCA}" name="QTY available From supplier" dataDxfId="1"/>
    <tableColumn id="18" xr3:uid="{9D2CB86A-C300-4292-9CD2-D467544585B0}" name="total 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liexpress.com/item/1005006739784824.html?spm=a2g0o.order_list.order_list_main.107.21ef1802LCeRv2" TargetMode="External"/><Relationship Id="rId18" Type="http://schemas.openxmlformats.org/officeDocument/2006/relationships/hyperlink" Target="https://www.aliexpress.com/item/1005007052469671.html?spm=a2g0o.order_list.order_list_main.11.21ef1802LCeRv2" TargetMode="External"/><Relationship Id="rId26" Type="http://schemas.openxmlformats.org/officeDocument/2006/relationships/hyperlink" Target="https://www.aliexpress.com/item/33008316502.html?spm=a2g0o.order_list.order_list_main.275.21ef1802LCeRv2" TargetMode="External"/><Relationship Id="rId39" Type="http://schemas.openxmlformats.org/officeDocument/2006/relationships/hyperlink" Target="https://www.aliexpress.com/item/1005005730540572.html?spm=a2g0o.order_list.order_list_main.400.21ef1802LCeRv2" TargetMode="External"/><Relationship Id="rId21" Type="http://schemas.openxmlformats.org/officeDocument/2006/relationships/hyperlink" Target="https://www.aliexpress.com/item/1005004085214518.html?spm=a2g0o.order_list.order_list_main.89.21ef1802LCeRv2" TargetMode="External"/><Relationship Id="rId34" Type="http://schemas.openxmlformats.org/officeDocument/2006/relationships/hyperlink" Target="https://www.aliexpress.com/item/1005006471216431.html?spm=a2g0o.order_list.order_list_main.257.21ef1802LCeRv2" TargetMode="External"/><Relationship Id="rId42" Type="http://schemas.openxmlformats.org/officeDocument/2006/relationships/hyperlink" Target="https://www.aliexpress.com/item/1005006957314732.html?spm=a2g0o.order_list.order_list_main.245.21ef1802LCeRv2" TargetMode="External"/><Relationship Id="rId7" Type="http://schemas.openxmlformats.org/officeDocument/2006/relationships/hyperlink" Target="https://www.aliexpress.com/item/1005006297437096.html?spm=a2g0o.order_list.order_list_main.47.21ef1802LCeRv2" TargetMode="External"/><Relationship Id="rId2" Type="http://schemas.openxmlformats.org/officeDocument/2006/relationships/hyperlink" Target="https://www.aliexpress.com/item/1005005789137816.html?spm=a2g0o.order_list.order_list_main.23.21ef1802LCeRv2" TargetMode="External"/><Relationship Id="rId16" Type="http://schemas.openxmlformats.org/officeDocument/2006/relationships/hyperlink" Target="https://www.aliexpress.com/item/1005004587258630.html?spm=a2g0o.order_list.order_list_main.131.21ef1802LCeRv2" TargetMode="External"/><Relationship Id="rId29" Type="http://schemas.openxmlformats.org/officeDocument/2006/relationships/hyperlink" Target="https://www.aliexpress.com/item/33022320164.html?spm=a2g0o.order_list.order_list_main.470.21ef1802LCeRv2" TargetMode="External"/><Relationship Id="rId1" Type="http://schemas.openxmlformats.org/officeDocument/2006/relationships/hyperlink" Target="https://www.temu.com/goods.html?_bg_fs=1&amp;goods_id=601099546944565&amp;sku_id=17592345757973&amp;_x_sessn_id=mh1ck8gbv5&amp;refer_page_name=bgt_order_detail&amp;refer_page_id=10045_1738034477670_tzzuooq5vc&amp;refer_page_sn=10045" TargetMode="External"/><Relationship Id="rId6" Type="http://schemas.openxmlformats.org/officeDocument/2006/relationships/hyperlink" Target="https://www.aliexpress.com/item/1005007039703061.html?spm=a2g0o.order_list.order_list_main.95.21ef1802LCeRv2" TargetMode="External"/><Relationship Id="rId11" Type="http://schemas.openxmlformats.org/officeDocument/2006/relationships/hyperlink" Target="https://www.aliexpress.com/item/1005006201879365.html?spm=a2g0o.order_list.order_list_main.83.21ef1802LCeRv2" TargetMode="External"/><Relationship Id="rId24" Type="http://schemas.openxmlformats.org/officeDocument/2006/relationships/hyperlink" Target="https://www.aliexpress.com/item/1005006354490184.html?spm=a2g0o.order_list.order_list_main.455.21ef1802LCeRv2" TargetMode="External"/><Relationship Id="rId32" Type="http://schemas.openxmlformats.org/officeDocument/2006/relationships/hyperlink" Target="https://www.aliexpress.com/item/1005007488107647.html?spm=a2g0o.order_list.order_list_main.41.21ef1802LCeRv2" TargetMode="External"/><Relationship Id="rId37" Type="http://schemas.openxmlformats.org/officeDocument/2006/relationships/hyperlink" Target="https://www.aliexpress.com/item/1005006997963863.html?spm=a2g0o.order_list.order_list_main.380.21ef1802LCeRv2" TargetMode="External"/><Relationship Id="rId40" Type="http://schemas.openxmlformats.org/officeDocument/2006/relationships/hyperlink" Target="https://www.aliexpress.com/item/1005007499606924.html?spm=a2g0o.order_list.order_list_main.125.21ef1802LCeRv2" TargetMode="External"/><Relationship Id="rId45" Type="http://schemas.openxmlformats.org/officeDocument/2006/relationships/table" Target="../tables/table1.xml"/><Relationship Id="rId5" Type="http://schemas.openxmlformats.org/officeDocument/2006/relationships/hyperlink" Target="https://www.aliexpress.com/item/1005005136387769.html?spm=a2g0o.order_list.order_list_main.35.21ef1802LCeRv2" TargetMode="External"/><Relationship Id="rId15" Type="http://schemas.openxmlformats.org/officeDocument/2006/relationships/hyperlink" Target="https://www.aliexpress.com/item/1005007194926967.html?spm=a2g0o.order_list.order_list_main.119.21ef1802LCeRv2" TargetMode="External"/><Relationship Id="rId23" Type="http://schemas.openxmlformats.org/officeDocument/2006/relationships/hyperlink" Target="https://www.aliexpress.com/item/1005008013881794.html?spm=a2g0o.order_list.order_list_main.269.21ef1802LCeRv2" TargetMode="External"/><Relationship Id="rId28" Type="http://schemas.openxmlformats.org/officeDocument/2006/relationships/hyperlink" Target="https://www.aliexpress.com/item/1005006219266362.html?spm=a2g0o.order_list.order_list_main.465.21ef1802LCeRv2" TargetMode="External"/><Relationship Id="rId36" Type="http://schemas.openxmlformats.org/officeDocument/2006/relationships/hyperlink" Target="https://www.aliexpress.com/item/1005007317072939.html?spm=a2g0o.order_list.order_list_main.374.21ef1802LCeRv2" TargetMode="External"/><Relationship Id="rId10" Type="http://schemas.openxmlformats.org/officeDocument/2006/relationships/hyperlink" Target="https://www.aliexpress.com/item/1005006201879365.html?spm=a2g0o.order_list.order_list_main.77.21ef1802LCeRv2" TargetMode="External"/><Relationship Id="rId19" Type="http://schemas.openxmlformats.org/officeDocument/2006/relationships/hyperlink" Target="https://www.aliexpress.com/item/1005007011796660.html?spm=a2g0o.order_list.order_list_main.29.21ef1802LCeRv2" TargetMode="External"/><Relationship Id="rId31" Type="http://schemas.openxmlformats.org/officeDocument/2006/relationships/hyperlink" Target="https://www.aliexpress.com/item/1005006102515851.html?spm=a2g0o.order_list.order_list_main.475.21ef1802LCeRv2" TargetMode="External"/><Relationship Id="rId44" Type="http://schemas.openxmlformats.org/officeDocument/2006/relationships/hyperlink" Target="https://www.aliexpress.com/item/1005007353345200.html?spm=a2g0o.order_list.order_list_main.5.21ef1802LCeRv2" TargetMode="External"/><Relationship Id="rId4" Type="http://schemas.openxmlformats.org/officeDocument/2006/relationships/hyperlink" Target="https://www.aliexpress.com/item/1005007048247079.html?spm=a2g0o.order_list.order_list_main.281.21ef1802LCeRv2" TargetMode="External"/><Relationship Id="rId9" Type="http://schemas.openxmlformats.org/officeDocument/2006/relationships/hyperlink" Target="https://www.aliexpress.com/item/1005005865785660.html?spm=a2g0o.order_list.order_list_main.71.21ef1802LCeRv2" TargetMode="External"/><Relationship Id="rId14" Type="http://schemas.openxmlformats.org/officeDocument/2006/relationships/hyperlink" Target="https://www.aliexpress.com/item/1005004845479589.html?spm=a2g0o.order_list.order_list_main.113.21ef1802LCeRv2" TargetMode="External"/><Relationship Id="rId22" Type="http://schemas.openxmlformats.org/officeDocument/2006/relationships/hyperlink" Target="https://www.aliexpress.com/item/1005006005552235.html?spm=a2g0o.order_list.order_list_main.263.21ef1802LCeRv2" TargetMode="External"/><Relationship Id="rId27" Type="http://schemas.openxmlformats.org/officeDocument/2006/relationships/hyperlink" Target="https://www.aliexpress.com/item/1005006863935613.html?spm=a2g0o.order_list.order_list_main.299.21ef1802LCeRv2" TargetMode="External"/><Relationship Id="rId30" Type="http://schemas.openxmlformats.org/officeDocument/2006/relationships/hyperlink" Target="https://www.aliexpress.com/item/1005006686643097.html?spm=a2g0o.order_list.order_list_main.359.21ef1802LCeRv2" TargetMode="External"/><Relationship Id="rId35" Type="http://schemas.openxmlformats.org/officeDocument/2006/relationships/hyperlink" Target="https://www.aliexpress.com/item/1005005945067372.html?spm=a2g0o.order_list.order_list_main.369.21ef1802LCeRv2" TargetMode="External"/><Relationship Id="rId43" Type="http://schemas.openxmlformats.org/officeDocument/2006/relationships/hyperlink" Target="https://www.aliexpress.com/item/1005006770774177.html?spm=a2g0o.order_list.order_list_main.17.21ef1802LCeRv2" TargetMode="External"/><Relationship Id="rId8" Type="http://schemas.openxmlformats.org/officeDocument/2006/relationships/hyperlink" Target="https://www.aliexpress.com/item/1005001423048024.html?spm=a2g0o.order_list.order_list_main.59.21ef1802LCeRv2" TargetMode="External"/><Relationship Id="rId3" Type="http://schemas.openxmlformats.org/officeDocument/2006/relationships/hyperlink" Target="https://www.aliexpress.com/item/1005006656776023.html?spm=a2g0o.order_list.order_list_main.251.21ef1802LCeRv2" TargetMode="External"/><Relationship Id="rId12" Type="http://schemas.openxmlformats.org/officeDocument/2006/relationships/hyperlink" Target="https://www.aliexpress.com/item/1005008142429403.html?spm=a2g0o.order_list.order_list_main.101.21ef1802LCeRv2" TargetMode="External"/><Relationship Id="rId17" Type="http://schemas.openxmlformats.org/officeDocument/2006/relationships/hyperlink" Target="https://www.aliexpress.com/item/1005008360755178.html?spm=a2g0o.order_list.order_list_main.547.21ef1802LCeRv2" TargetMode="External"/><Relationship Id="rId25" Type="http://schemas.openxmlformats.org/officeDocument/2006/relationships/hyperlink" Target="https://www.aliexpress.com/item/1005006889422623.html?spm=a2g0o.order_list.order_list_main.495.21ef1802LCeRv2" TargetMode="External"/><Relationship Id="rId33" Type="http://schemas.openxmlformats.org/officeDocument/2006/relationships/hyperlink" Target="https://www.aliexpress.com/item/1005008332727663.html?spm=a2g0o.order_list.order_list_main.53.21ef1802LCeRv2" TargetMode="External"/><Relationship Id="rId38" Type="http://schemas.openxmlformats.org/officeDocument/2006/relationships/hyperlink" Target="https://www.aliexpress.com/item/1005007211540927.html?spm=a2g0o.order_list.order_list_main.395.21ef1802LCeRv2" TargetMode="External"/><Relationship Id="rId20" Type="http://schemas.openxmlformats.org/officeDocument/2006/relationships/hyperlink" Target="https://www.aliexpress.com/item/1005006048532171.html?spm=a2g0o.order_list.order_list_main.65.21ef1802LCeRv2" TargetMode="External"/><Relationship Id="rId41" Type="http://schemas.openxmlformats.org/officeDocument/2006/relationships/hyperlink" Target="https://www.aliexpress.com/item/1005004085214518.html?spm=a2g0o.order_list.order_list_main.227.21ef1802LCeRv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4D36-68F2-47F2-ABCB-22F185F24FD5}">
  <dimension ref="A1:K64"/>
  <sheetViews>
    <sheetView tabSelected="1" workbookViewId="0">
      <selection activeCell="N57" sqref="N57"/>
    </sheetView>
  </sheetViews>
  <sheetFormatPr defaultRowHeight="14.4" x14ac:dyDescent="0.55000000000000004"/>
  <cols>
    <col min="1" max="1" width="21" customWidth="1"/>
    <col min="2" max="2" width="34.68359375" customWidth="1"/>
    <col min="3" max="3" width="15.26171875" customWidth="1"/>
    <col min="4" max="4" width="11.83984375" customWidth="1"/>
    <col min="5" max="5" width="11" style="4" customWidth="1"/>
    <col min="6" max="6" width="10.41796875" style="4" customWidth="1"/>
    <col min="7" max="7" width="11.578125" customWidth="1"/>
    <col min="8" max="8" width="12.578125" customWidth="1"/>
    <col min="9" max="9" width="9.26171875" customWidth="1"/>
    <col min="11" max="11" width="11.68359375" customWidth="1"/>
  </cols>
  <sheetData>
    <row r="1" spans="1:11" s="1" customFormat="1" x14ac:dyDescent="0.5500000000000000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x14ac:dyDescent="0.55000000000000004">
      <c r="A2" t="s">
        <v>11</v>
      </c>
      <c r="B2" t="s">
        <v>12</v>
      </c>
      <c r="C2" t="s">
        <v>13</v>
      </c>
      <c r="D2">
        <v>1</v>
      </c>
      <c r="E2" s="4">
        <v>6.61</v>
      </c>
      <c r="F2" s="4">
        <f>Table3[[#This Row],[Cost]]/Table3[[#This Row],[Qty Purchased]]</f>
        <v>6.61</v>
      </c>
      <c r="I2" t="s">
        <v>14</v>
      </c>
      <c r="J2" s="16" t="s">
        <v>15</v>
      </c>
      <c r="K2" t="s">
        <v>16</v>
      </c>
    </row>
    <row r="3" spans="1:11" x14ac:dyDescent="0.55000000000000004">
      <c r="A3" t="s">
        <v>11</v>
      </c>
      <c r="B3" t="s">
        <v>17</v>
      </c>
      <c r="C3" t="s">
        <v>18</v>
      </c>
      <c r="D3">
        <v>1</v>
      </c>
      <c r="E3" s="4">
        <v>15.55</v>
      </c>
      <c r="F3" s="4">
        <f>Table3[[#This Row],[Cost]]/Table3[[#This Row],[Qty Purchased]]</f>
        <v>15.55</v>
      </c>
      <c r="I3" t="s">
        <v>14</v>
      </c>
      <c r="J3" s="16" t="s">
        <v>19</v>
      </c>
      <c r="K3" t="s">
        <v>16</v>
      </c>
    </row>
    <row r="4" spans="1:11" x14ac:dyDescent="0.55000000000000004">
      <c r="A4" t="s">
        <v>11</v>
      </c>
      <c r="B4" t="s">
        <v>20</v>
      </c>
      <c r="C4" t="s">
        <v>21</v>
      </c>
      <c r="D4">
        <v>1</v>
      </c>
      <c r="E4" s="4">
        <v>28.19</v>
      </c>
      <c r="F4" s="4">
        <f>Table3[[#This Row],[Cost]]/Table3[[#This Row],[Qty Purchased]]</f>
        <v>28.19</v>
      </c>
      <c r="I4" t="s">
        <v>14</v>
      </c>
      <c r="J4" s="16" t="s">
        <v>22</v>
      </c>
      <c r="K4" t="s">
        <v>16</v>
      </c>
    </row>
    <row r="5" spans="1:11" x14ac:dyDescent="0.55000000000000004">
      <c r="A5" t="s">
        <v>11</v>
      </c>
      <c r="B5" t="s">
        <v>23</v>
      </c>
      <c r="C5" t="s">
        <v>24</v>
      </c>
      <c r="D5">
        <v>1</v>
      </c>
      <c r="E5" s="4">
        <v>23.26</v>
      </c>
      <c r="F5" s="4">
        <f>Table3[[#This Row],[Cost]]/Table3[[#This Row],[Qty Purchased]]</f>
        <v>23.26</v>
      </c>
      <c r="I5" t="s">
        <v>25</v>
      </c>
      <c r="J5">
        <v>637500</v>
      </c>
      <c r="K5" t="s">
        <v>16</v>
      </c>
    </row>
    <row r="6" spans="1:11" x14ac:dyDescent="0.55000000000000004">
      <c r="A6" t="s">
        <v>11</v>
      </c>
      <c r="B6" t="s">
        <v>26</v>
      </c>
      <c r="C6" t="s">
        <v>27</v>
      </c>
      <c r="D6">
        <v>1</v>
      </c>
      <c r="E6" s="4">
        <v>91.42</v>
      </c>
      <c r="F6" s="4">
        <f>Table3[[#This Row],[Cost]]/Table3[[#This Row],[Qty Purchased]]</f>
        <v>91.42</v>
      </c>
      <c r="I6" t="s">
        <v>25</v>
      </c>
      <c r="J6">
        <v>630047</v>
      </c>
      <c r="K6" t="s">
        <v>16</v>
      </c>
    </row>
    <row r="7" spans="1:11" x14ac:dyDescent="0.55000000000000004">
      <c r="A7" t="s">
        <v>11</v>
      </c>
      <c r="B7" t="s">
        <v>28</v>
      </c>
      <c r="C7" t="s">
        <v>29</v>
      </c>
      <c r="D7">
        <v>1</v>
      </c>
      <c r="E7" s="4">
        <v>55.09</v>
      </c>
      <c r="F7" s="4">
        <f>Table3[[#This Row],[Cost]]/Table3[[#This Row],[Qty Purchased]]</f>
        <v>55.09</v>
      </c>
      <c r="I7" t="s">
        <v>25</v>
      </c>
      <c r="J7">
        <v>320501</v>
      </c>
      <c r="K7" t="s">
        <v>16</v>
      </c>
    </row>
    <row r="8" spans="1:11" x14ac:dyDescent="0.55000000000000004">
      <c r="A8" t="s">
        <v>11</v>
      </c>
      <c r="B8" t="s">
        <v>30</v>
      </c>
      <c r="C8" t="s">
        <v>31</v>
      </c>
      <c r="D8">
        <v>1</v>
      </c>
      <c r="E8" s="4">
        <v>135</v>
      </c>
      <c r="F8" s="4">
        <f>Table3[[#This Row],[Cost]]/Table3[[#This Row],[Qty Purchased]]</f>
        <v>135</v>
      </c>
      <c r="I8" t="s">
        <v>32</v>
      </c>
      <c r="J8" t="s">
        <v>33</v>
      </c>
      <c r="K8" t="s">
        <v>16</v>
      </c>
    </row>
    <row r="9" spans="1:11" x14ac:dyDescent="0.55000000000000004">
      <c r="A9" t="s">
        <v>11</v>
      </c>
      <c r="B9" t="s">
        <v>34</v>
      </c>
      <c r="C9" t="s">
        <v>35</v>
      </c>
      <c r="D9">
        <v>8</v>
      </c>
      <c r="E9" s="4">
        <v>50.96</v>
      </c>
      <c r="F9" s="4">
        <f>Table3[[#This Row],[Cost]]/Table3[[#This Row],[Qty Purchased]]</f>
        <v>6.37</v>
      </c>
      <c r="I9" t="s">
        <v>36</v>
      </c>
      <c r="J9" s="16" t="s">
        <v>37</v>
      </c>
      <c r="K9" t="s">
        <v>16</v>
      </c>
    </row>
    <row r="10" spans="1:11" x14ac:dyDescent="0.55000000000000004">
      <c r="A10" t="s">
        <v>38</v>
      </c>
      <c r="B10" t="s">
        <v>39</v>
      </c>
      <c r="C10" t="s">
        <v>40</v>
      </c>
      <c r="D10">
        <v>1</v>
      </c>
      <c r="E10" s="4">
        <v>5.95</v>
      </c>
      <c r="F10" s="4">
        <f>Table3[[#This Row],[Cost]]/Table3[[#This Row],[Qty Purchased]]</f>
        <v>5.95</v>
      </c>
      <c r="I10" t="s">
        <v>14</v>
      </c>
      <c r="J10" s="16" t="s">
        <v>41</v>
      </c>
      <c r="K10" t="s">
        <v>16</v>
      </c>
    </row>
    <row r="11" spans="1:11" x14ac:dyDescent="0.55000000000000004">
      <c r="A11" t="s">
        <v>38</v>
      </c>
      <c r="B11" t="s">
        <v>42</v>
      </c>
      <c r="C11" t="s">
        <v>43</v>
      </c>
      <c r="D11">
        <v>20</v>
      </c>
      <c r="E11" s="4">
        <v>26.19</v>
      </c>
      <c r="F11" s="4">
        <f>Table3[[#This Row],[Cost]]/Table3[[#This Row],[Qty Purchased]]</f>
        <v>1.3095000000000001</v>
      </c>
      <c r="I11" t="s">
        <v>14</v>
      </c>
      <c r="J11" s="16" t="s">
        <v>44</v>
      </c>
      <c r="K11" t="s">
        <v>16</v>
      </c>
    </row>
    <row r="12" spans="1:11" x14ac:dyDescent="0.55000000000000004">
      <c r="A12" t="s">
        <v>45</v>
      </c>
      <c r="B12" t="s">
        <v>46</v>
      </c>
      <c r="C12" t="s">
        <v>47</v>
      </c>
      <c r="D12">
        <v>18</v>
      </c>
      <c r="E12" s="4">
        <v>24.6</v>
      </c>
      <c r="F12" s="4">
        <f>Table3[[#This Row],[Cost]]/Table3[[#This Row],[Qty Purchased]]</f>
        <v>1.3666666666666667</v>
      </c>
      <c r="I12" t="s">
        <v>14</v>
      </c>
      <c r="J12" s="16" t="s">
        <v>48</v>
      </c>
      <c r="K12" t="s">
        <v>16</v>
      </c>
    </row>
    <row r="13" spans="1:11" x14ac:dyDescent="0.55000000000000004">
      <c r="A13" t="s">
        <v>49</v>
      </c>
      <c r="B13" t="s">
        <v>50</v>
      </c>
      <c r="C13" t="s">
        <v>51</v>
      </c>
      <c r="D13">
        <v>1</v>
      </c>
      <c r="E13" s="4">
        <v>6.63</v>
      </c>
      <c r="F13" s="4">
        <f>Table3[[#This Row],[Cost]]/Table3[[#This Row],[Qty Purchased]]</f>
        <v>6.63</v>
      </c>
      <c r="I13" t="s">
        <v>14</v>
      </c>
      <c r="J13" s="16" t="s">
        <v>52</v>
      </c>
      <c r="K13" t="s">
        <v>16</v>
      </c>
    </row>
    <row r="14" spans="1:11" x14ac:dyDescent="0.55000000000000004">
      <c r="A14" t="s">
        <v>45</v>
      </c>
      <c r="B14" t="s">
        <v>53</v>
      </c>
      <c r="C14" t="s">
        <v>54</v>
      </c>
      <c r="D14">
        <v>50</v>
      </c>
      <c r="E14" s="4">
        <v>19.14</v>
      </c>
      <c r="F14" s="4">
        <f>Table3[[#This Row],[Cost]]/Table3[[#This Row],[Qty Purchased]]</f>
        <v>0.38280000000000003</v>
      </c>
      <c r="I14" t="s">
        <v>14</v>
      </c>
      <c r="J14" s="16" t="s">
        <v>55</v>
      </c>
      <c r="K14" t="s">
        <v>16</v>
      </c>
    </row>
    <row r="15" spans="1:11" x14ac:dyDescent="0.55000000000000004">
      <c r="A15" t="s">
        <v>45</v>
      </c>
      <c r="B15" t="s">
        <v>56</v>
      </c>
      <c r="C15" t="s">
        <v>57</v>
      </c>
      <c r="D15">
        <v>20</v>
      </c>
      <c r="E15" s="4">
        <v>101.32</v>
      </c>
      <c r="F15" s="4">
        <f>Table3[[#This Row],[Cost]]/Table3[[#This Row],[Qty Purchased]]</f>
        <v>5.0659999999999998</v>
      </c>
      <c r="I15" t="s">
        <v>14</v>
      </c>
      <c r="J15" s="16" t="s">
        <v>58</v>
      </c>
      <c r="K15" t="s">
        <v>16</v>
      </c>
    </row>
    <row r="16" spans="1:11" x14ac:dyDescent="0.55000000000000004">
      <c r="A16" t="s">
        <v>45</v>
      </c>
      <c r="B16" t="s">
        <v>59</v>
      </c>
      <c r="C16" t="s">
        <v>60</v>
      </c>
      <c r="D16">
        <v>1</v>
      </c>
      <c r="E16" s="4">
        <v>14.15</v>
      </c>
      <c r="F16" s="4">
        <f>Table3[[#This Row],[Cost]]/Table3[[#This Row],[Qty Purchased]]</f>
        <v>14.15</v>
      </c>
      <c r="I16" t="s">
        <v>25</v>
      </c>
      <c r="J16">
        <v>180744</v>
      </c>
      <c r="K16" t="s">
        <v>16</v>
      </c>
    </row>
    <row r="17" spans="1:11" x14ac:dyDescent="0.55000000000000004">
      <c r="A17" t="s">
        <v>45</v>
      </c>
      <c r="B17" t="s">
        <v>61</v>
      </c>
      <c r="C17" t="s">
        <v>62</v>
      </c>
      <c r="D17">
        <v>18</v>
      </c>
      <c r="E17" s="4">
        <v>29.94</v>
      </c>
      <c r="F17" s="4">
        <f>Table3[[#This Row],[Cost]]/Table3[[#This Row],[Qty Purchased]]</f>
        <v>1.6633333333333333</v>
      </c>
      <c r="I17" t="s">
        <v>25</v>
      </c>
      <c r="J17">
        <v>270467</v>
      </c>
      <c r="K17" t="s">
        <v>16</v>
      </c>
    </row>
    <row r="18" spans="1:11" x14ac:dyDescent="0.55000000000000004">
      <c r="A18" t="s">
        <v>224</v>
      </c>
      <c r="B18" t="s">
        <v>63</v>
      </c>
      <c r="C18" t="s">
        <v>64</v>
      </c>
      <c r="D18">
        <v>16</v>
      </c>
      <c r="E18" s="4">
        <v>266.72000000000003</v>
      </c>
      <c r="F18" s="4">
        <f>Table3[[#This Row],[Cost]]/Table3[[#This Row],[Qty Purchased]]</f>
        <v>16.670000000000002</v>
      </c>
      <c r="I18" t="s">
        <v>65</v>
      </c>
      <c r="J18" t="s">
        <v>33</v>
      </c>
      <c r="K18" t="s">
        <v>16</v>
      </c>
    </row>
    <row r="19" spans="1:11" x14ac:dyDescent="0.55000000000000004">
      <c r="A19" t="s">
        <v>66</v>
      </c>
      <c r="B19" t="s">
        <v>67</v>
      </c>
      <c r="C19" t="s">
        <v>68</v>
      </c>
      <c r="D19">
        <v>20</v>
      </c>
      <c r="E19" s="4">
        <v>4.29</v>
      </c>
      <c r="F19" s="4">
        <f>Table3[[#This Row],[Cost]]/Table3[[#This Row],[Qty Purchased]]</f>
        <v>0.2145</v>
      </c>
      <c r="I19" t="s">
        <v>14</v>
      </c>
      <c r="J19" s="16" t="s">
        <v>69</v>
      </c>
      <c r="K19" t="s">
        <v>16</v>
      </c>
    </row>
    <row r="20" spans="1:11" x14ac:dyDescent="0.55000000000000004">
      <c r="A20" t="s">
        <v>66</v>
      </c>
      <c r="B20" t="s">
        <v>70</v>
      </c>
      <c r="C20" t="s">
        <v>71</v>
      </c>
      <c r="D20">
        <v>1</v>
      </c>
      <c r="E20" s="4">
        <v>5.62</v>
      </c>
      <c r="F20" s="4">
        <f>Table3[[#This Row],[Cost]]/Table3[[#This Row],[Qty Purchased]]</f>
        <v>5.62</v>
      </c>
      <c r="I20" t="s">
        <v>14</v>
      </c>
      <c r="J20" s="16" t="s">
        <v>72</v>
      </c>
      <c r="K20" t="s">
        <v>16</v>
      </c>
    </row>
    <row r="21" spans="1:11" x14ac:dyDescent="0.55000000000000004">
      <c r="A21" t="s">
        <v>66</v>
      </c>
      <c r="B21" t="s">
        <v>73</v>
      </c>
      <c r="C21" t="s">
        <v>74</v>
      </c>
      <c r="D21">
        <v>20</v>
      </c>
      <c r="E21" s="4">
        <v>33.93</v>
      </c>
      <c r="F21" s="4">
        <f>Table3[[#This Row],[Cost]]/Table3[[#This Row],[Qty Purchased]]</f>
        <v>1.6964999999999999</v>
      </c>
      <c r="I21" t="s">
        <v>14</v>
      </c>
      <c r="J21" s="16" t="s">
        <v>75</v>
      </c>
      <c r="K21" t="s">
        <v>16</v>
      </c>
    </row>
    <row r="22" spans="1:11" x14ac:dyDescent="0.55000000000000004">
      <c r="A22" t="s">
        <v>66</v>
      </c>
      <c r="B22" t="s">
        <v>53</v>
      </c>
      <c r="C22" t="s">
        <v>54</v>
      </c>
      <c r="D22">
        <v>20</v>
      </c>
      <c r="E22" s="4">
        <v>7.37</v>
      </c>
      <c r="F22" s="4">
        <f>Table3[[#This Row],[Cost]]/Table3[[#This Row],[Qty Purchased]]</f>
        <v>0.36849999999999999</v>
      </c>
      <c r="I22" t="s">
        <v>14</v>
      </c>
      <c r="J22" s="16" t="s">
        <v>76</v>
      </c>
      <c r="K22" t="s">
        <v>16</v>
      </c>
    </row>
    <row r="23" spans="1:11" x14ac:dyDescent="0.55000000000000004">
      <c r="A23" t="s">
        <v>66</v>
      </c>
      <c r="B23" t="s">
        <v>77</v>
      </c>
      <c r="C23" t="s">
        <v>78</v>
      </c>
      <c r="D23">
        <v>30</v>
      </c>
      <c r="E23" s="4">
        <v>10.38</v>
      </c>
      <c r="F23" s="4">
        <f>Table3[[#This Row],[Cost]]/Table3[[#This Row],[Qty Purchased]]</f>
        <v>0.34600000000000003</v>
      </c>
      <c r="I23" t="s">
        <v>14</v>
      </c>
      <c r="J23" s="16" t="s">
        <v>79</v>
      </c>
      <c r="K23" t="s">
        <v>16</v>
      </c>
    </row>
    <row r="24" spans="1:11" x14ac:dyDescent="0.55000000000000004">
      <c r="A24" t="s">
        <v>66</v>
      </c>
      <c r="B24" t="s">
        <v>80</v>
      </c>
      <c r="C24" t="s">
        <v>81</v>
      </c>
      <c r="D24">
        <v>6</v>
      </c>
      <c r="E24" s="4">
        <v>118.94</v>
      </c>
      <c r="F24" s="4">
        <f>Table3[[#This Row],[Cost]]/Table3[[#This Row],[Qty Purchased]]</f>
        <v>19.823333333333334</v>
      </c>
      <c r="I24" t="s">
        <v>14</v>
      </c>
      <c r="J24" s="16" t="s">
        <v>82</v>
      </c>
      <c r="K24" t="s">
        <v>16</v>
      </c>
    </row>
    <row r="25" spans="1:11" x14ac:dyDescent="0.55000000000000004">
      <c r="A25" t="s">
        <v>66</v>
      </c>
      <c r="B25" t="s">
        <v>83</v>
      </c>
      <c r="C25" t="s">
        <v>84</v>
      </c>
      <c r="D25">
        <v>20</v>
      </c>
      <c r="E25" s="4">
        <v>225.06</v>
      </c>
      <c r="F25" s="4">
        <f>Table3[[#This Row],[Cost]]/Table3[[#This Row],[Qty Purchased]]</f>
        <v>11.253</v>
      </c>
      <c r="I25" t="s">
        <v>14</v>
      </c>
      <c r="J25" s="16" t="s">
        <v>85</v>
      </c>
      <c r="K25" t="s">
        <v>16</v>
      </c>
    </row>
    <row r="26" spans="1:11" x14ac:dyDescent="0.55000000000000004">
      <c r="A26" t="s">
        <v>66</v>
      </c>
      <c r="B26" t="s">
        <v>86</v>
      </c>
      <c r="C26" t="s">
        <v>87</v>
      </c>
      <c r="D26">
        <v>4</v>
      </c>
      <c r="E26" s="4">
        <v>48.2</v>
      </c>
      <c r="F26" s="4">
        <f>Table3[[#This Row],[Cost]]/Table3[[#This Row],[Qty Purchased]]</f>
        <v>12.05</v>
      </c>
      <c r="I26" t="s">
        <v>14</v>
      </c>
      <c r="J26" s="16" t="s">
        <v>88</v>
      </c>
      <c r="K26" t="s">
        <v>16</v>
      </c>
    </row>
    <row r="27" spans="1:11" x14ac:dyDescent="0.55000000000000004">
      <c r="A27" t="s">
        <v>66</v>
      </c>
      <c r="B27" t="s">
        <v>89</v>
      </c>
      <c r="C27" t="s">
        <v>90</v>
      </c>
      <c r="D27">
        <v>60</v>
      </c>
      <c r="E27" s="4">
        <v>33.700000000000003</v>
      </c>
      <c r="F27" s="4">
        <f>Table3[[#This Row],[Cost]]/Table3[[#This Row],[Qty Purchased]]</f>
        <v>0.56166666666666676</v>
      </c>
      <c r="I27" t="s">
        <v>14</v>
      </c>
      <c r="J27" s="16" t="s">
        <v>91</v>
      </c>
      <c r="K27" t="s">
        <v>16</v>
      </c>
    </row>
    <row r="28" spans="1:11" x14ac:dyDescent="0.55000000000000004">
      <c r="A28" t="s">
        <v>66</v>
      </c>
      <c r="B28" t="s">
        <v>92</v>
      </c>
      <c r="D28">
        <v>20</v>
      </c>
      <c r="E28" s="4">
        <v>46.38</v>
      </c>
      <c r="F28" s="4">
        <f>Table3[[#This Row],[Cost]]/Table3[[#This Row],[Qty Purchased]]</f>
        <v>2.319</v>
      </c>
      <c r="I28" t="s">
        <v>14</v>
      </c>
      <c r="J28" s="16" t="s">
        <v>93</v>
      </c>
      <c r="K28" t="s">
        <v>16</v>
      </c>
    </row>
    <row r="29" spans="1:11" x14ac:dyDescent="0.55000000000000004">
      <c r="A29" t="s">
        <v>66</v>
      </c>
      <c r="B29" t="s">
        <v>94</v>
      </c>
      <c r="C29" t="s">
        <v>95</v>
      </c>
      <c r="D29">
        <v>52</v>
      </c>
      <c r="E29" s="4">
        <v>153.63</v>
      </c>
      <c r="F29" s="4">
        <f>Table3[[#This Row],[Cost]]/Table3[[#This Row],[Qty Purchased]]</f>
        <v>2.954423076923077</v>
      </c>
      <c r="I29" t="s">
        <v>14</v>
      </c>
      <c r="J29" s="16" t="s">
        <v>96</v>
      </c>
      <c r="K29" t="s">
        <v>16</v>
      </c>
    </row>
    <row r="30" spans="1:11" x14ac:dyDescent="0.55000000000000004">
      <c r="A30" t="s">
        <v>66</v>
      </c>
      <c r="B30" t="s">
        <v>97</v>
      </c>
      <c r="D30">
        <v>20</v>
      </c>
      <c r="E30" s="4">
        <v>8.24</v>
      </c>
      <c r="F30" s="4">
        <f>Table3[[#This Row],[Cost]]/Table3[[#This Row],[Qty Purchased]]</f>
        <v>0.41200000000000003</v>
      </c>
      <c r="I30" t="s">
        <v>14</v>
      </c>
      <c r="J30" s="16" t="s">
        <v>98</v>
      </c>
      <c r="K30" t="s">
        <v>16</v>
      </c>
    </row>
    <row r="31" spans="1:11" x14ac:dyDescent="0.55000000000000004">
      <c r="A31" t="s">
        <v>66</v>
      </c>
      <c r="B31" t="s">
        <v>99</v>
      </c>
      <c r="C31" t="s">
        <v>100</v>
      </c>
      <c r="D31">
        <v>18</v>
      </c>
      <c r="E31" s="4">
        <v>206.3</v>
      </c>
      <c r="F31" s="4">
        <f>Table3[[#This Row],[Cost]]/Table3[[#This Row],[Qty Purchased]]</f>
        <v>11.461111111111112</v>
      </c>
      <c r="I31" t="s">
        <v>101</v>
      </c>
      <c r="J31" t="s">
        <v>102</v>
      </c>
      <c r="K31" t="s">
        <v>16</v>
      </c>
    </row>
    <row r="32" spans="1:11" x14ac:dyDescent="0.55000000000000004">
      <c r="A32" t="s">
        <v>45</v>
      </c>
      <c r="B32" t="s">
        <v>103</v>
      </c>
      <c r="C32" t="s">
        <v>104</v>
      </c>
      <c r="D32">
        <v>20</v>
      </c>
      <c r="E32" s="4">
        <v>15.7</v>
      </c>
      <c r="F32" s="4">
        <f>Table3[[#This Row],[Cost]]/Table3[[#This Row],[Qty Purchased]]</f>
        <v>0.78499999999999992</v>
      </c>
      <c r="I32" t="s">
        <v>14</v>
      </c>
      <c r="J32" s="16" t="s">
        <v>105</v>
      </c>
      <c r="K32" t="s">
        <v>16</v>
      </c>
    </row>
    <row r="33" spans="1:11" x14ac:dyDescent="0.55000000000000004">
      <c r="A33" t="s">
        <v>38</v>
      </c>
      <c r="B33" t="s">
        <v>106</v>
      </c>
      <c r="D33">
        <v>1</v>
      </c>
      <c r="E33" s="4">
        <v>44.49</v>
      </c>
      <c r="F33" s="4">
        <f>Table3[[#This Row],[Cost]]/Table3[[#This Row],[Qty Purchased]]</f>
        <v>44.49</v>
      </c>
      <c r="I33" t="s">
        <v>14</v>
      </c>
      <c r="J33" s="16" t="s">
        <v>107</v>
      </c>
      <c r="K33" t="s">
        <v>108</v>
      </c>
    </row>
    <row r="34" spans="1:11" x14ac:dyDescent="0.55000000000000004">
      <c r="A34" t="s">
        <v>38</v>
      </c>
      <c r="B34" t="s">
        <v>109</v>
      </c>
      <c r="C34" t="s">
        <v>110</v>
      </c>
      <c r="D34">
        <v>1</v>
      </c>
      <c r="E34" s="4">
        <v>83.23</v>
      </c>
      <c r="F34" s="4">
        <f>Table3[[#This Row],[Cost]]/Table3[[#This Row],[Qty Purchased]]</f>
        <v>83.23</v>
      </c>
      <c r="I34" t="s">
        <v>14</v>
      </c>
      <c r="J34" s="16" t="s">
        <v>111</v>
      </c>
      <c r="K34" t="s">
        <v>108</v>
      </c>
    </row>
    <row r="35" spans="1:11" x14ac:dyDescent="0.55000000000000004">
      <c r="A35" t="s">
        <v>38</v>
      </c>
      <c r="B35" t="s">
        <v>112</v>
      </c>
      <c r="C35" t="s">
        <v>113</v>
      </c>
      <c r="D35">
        <v>2</v>
      </c>
      <c r="E35" s="4">
        <v>17.75</v>
      </c>
      <c r="F35" s="4">
        <f>Table3[[#This Row],[Cost]]/Table3[[#This Row],[Qty Purchased]]</f>
        <v>8.875</v>
      </c>
      <c r="I35" t="s">
        <v>14</v>
      </c>
      <c r="J35" s="16" t="s">
        <v>114</v>
      </c>
      <c r="K35" t="s">
        <v>108</v>
      </c>
    </row>
    <row r="36" spans="1:11" x14ac:dyDescent="0.55000000000000004">
      <c r="A36" t="s">
        <v>38</v>
      </c>
      <c r="B36" t="s">
        <v>115</v>
      </c>
      <c r="C36" t="s">
        <v>116</v>
      </c>
      <c r="D36">
        <v>2</v>
      </c>
      <c r="E36" s="4">
        <v>4.99</v>
      </c>
      <c r="F36" s="4">
        <f>Table3[[#This Row],[Cost]]/Table3[[#This Row],[Qty Purchased]]</f>
        <v>2.4950000000000001</v>
      </c>
      <c r="I36" t="s">
        <v>14</v>
      </c>
      <c r="J36" s="16" t="s">
        <v>117</v>
      </c>
      <c r="K36" t="s">
        <v>108</v>
      </c>
    </row>
    <row r="37" spans="1:11" x14ac:dyDescent="0.55000000000000004">
      <c r="A37" t="s">
        <v>38</v>
      </c>
      <c r="B37" t="s">
        <v>115</v>
      </c>
      <c r="C37" t="s">
        <v>118</v>
      </c>
      <c r="D37">
        <v>2</v>
      </c>
      <c r="E37" s="4">
        <v>4.72</v>
      </c>
      <c r="F37" s="4">
        <f>Table3[[#This Row],[Cost]]/Table3[[#This Row],[Qty Purchased]]</f>
        <v>2.36</v>
      </c>
      <c r="I37" t="s">
        <v>14</v>
      </c>
      <c r="J37" s="16" t="s">
        <v>119</v>
      </c>
      <c r="K37" t="s">
        <v>108</v>
      </c>
    </row>
    <row r="38" spans="1:11" x14ac:dyDescent="0.55000000000000004">
      <c r="A38" t="s">
        <v>38</v>
      </c>
      <c r="B38" t="s">
        <v>120</v>
      </c>
      <c r="C38" t="s">
        <v>121</v>
      </c>
      <c r="D38">
        <v>1</v>
      </c>
      <c r="E38" s="4">
        <v>181.69</v>
      </c>
      <c r="F38" s="4">
        <f>Table3[[#This Row],[Cost]]/Table3[[#This Row],[Qty Purchased]]</f>
        <v>181.69</v>
      </c>
      <c r="I38" t="s">
        <v>14</v>
      </c>
      <c r="J38" s="16" t="s">
        <v>122</v>
      </c>
      <c r="K38" t="s">
        <v>108</v>
      </c>
    </row>
    <row r="39" spans="1:11" x14ac:dyDescent="0.55000000000000004">
      <c r="A39" t="s">
        <v>38</v>
      </c>
      <c r="B39" t="s">
        <v>123</v>
      </c>
      <c r="D39">
        <v>2</v>
      </c>
      <c r="E39" s="4">
        <v>122.74</v>
      </c>
      <c r="F39" s="4">
        <f>Table3[[#This Row],[Cost]]/Table3[[#This Row],[Qty Purchased]]</f>
        <v>61.37</v>
      </c>
      <c r="I39" t="s">
        <v>14</v>
      </c>
      <c r="J39" s="16" t="s">
        <v>124</v>
      </c>
      <c r="K39" t="s">
        <v>108</v>
      </c>
    </row>
    <row r="40" spans="1:11" x14ac:dyDescent="0.55000000000000004">
      <c r="A40" t="s">
        <v>38</v>
      </c>
      <c r="B40" t="s">
        <v>125</v>
      </c>
      <c r="C40" t="s">
        <v>126</v>
      </c>
      <c r="D40">
        <v>14</v>
      </c>
      <c r="E40" s="4">
        <v>52.44</v>
      </c>
      <c r="F40" s="4">
        <f>Table3[[#This Row],[Cost]]/Table3[[#This Row],[Qty Purchased]]</f>
        <v>3.7457142857142856</v>
      </c>
      <c r="I40" t="s">
        <v>14</v>
      </c>
      <c r="J40" s="16" t="s">
        <v>127</v>
      </c>
      <c r="K40" t="s">
        <v>108</v>
      </c>
    </row>
    <row r="41" spans="1:11" x14ac:dyDescent="0.55000000000000004">
      <c r="A41" t="s">
        <v>38</v>
      </c>
      <c r="B41" t="s">
        <v>128</v>
      </c>
      <c r="C41" t="s">
        <v>129</v>
      </c>
      <c r="D41">
        <v>1</v>
      </c>
      <c r="E41" s="4">
        <v>5.58</v>
      </c>
      <c r="F41" s="4">
        <f>Table3[[#This Row],[Cost]]/Table3[[#This Row],[Qty Purchased]]</f>
        <v>5.58</v>
      </c>
      <c r="I41" t="s">
        <v>14</v>
      </c>
      <c r="J41" s="16" t="s">
        <v>130</v>
      </c>
      <c r="K41" t="s">
        <v>108</v>
      </c>
    </row>
    <row r="42" spans="1:11" x14ac:dyDescent="0.55000000000000004">
      <c r="A42" t="s">
        <v>38</v>
      </c>
      <c r="B42" t="s">
        <v>131</v>
      </c>
      <c r="C42" t="s">
        <v>132</v>
      </c>
      <c r="D42">
        <v>1</v>
      </c>
      <c r="E42" s="4">
        <v>171.29</v>
      </c>
      <c r="F42" s="4">
        <f>Table3[[#This Row],[Cost]]/Table3[[#This Row],[Qty Purchased]]</f>
        <v>171.29</v>
      </c>
      <c r="I42" t="s">
        <v>14</v>
      </c>
      <c r="J42" s="16" t="s">
        <v>133</v>
      </c>
      <c r="K42" t="s">
        <v>108</v>
      </c>
    </row>
    <row r="43" spans="1:11" x14ac:dyDescent="0.55000000000000004">
      <c r="A43" t="s">
        <v>38</v>
      </c>
      <c r="B43" t="s">
        <v>134</v>
      </c>
      <c r="C43" t="s">
        <v>135</v>
      </c>
      <c r="D43">
        <v>1</v>
      </c>
      <c r="E43" s="4">
        <v>10.39</v>
      </c>
      <c r="F43" s="4">
        <f>Table3[[#This Row],[Cost]]/Table3[[#This Row],[Qty Purchased]]</f>
        <v>10.39</v>
      </c>
      <c r="I43" t="s">
        <v>14</v>
      </c>
      <c r="J43" s="16" t="s">
        <v>136</v>
      </c>
      <c r="K43" t="s">
        <v>108</v>
      </c>
    </row>
    <row r="44" spans="1:11" x14ac:dyDescent="0.55000000000000004">
      <c r="A44" t="s">
        <v>137</v>
      </c>
      <c r="B44" t="s">
        <v>138</v>
      </c>
      <c r="C44" t="s">
        <v>139</v>
      </c>
      <c r="D44">
        <v>13</v>
      </c>
      <c r="E44" s="4">
        <v>249.72</v>
      </c>
      <c r="F44" s="4">
        <f>Table3[[#This Row],[Cost]]/Table3[[#This Row],[Qty Purchased]]</f>
        <v>19.209230769230768</v>
      </c>
      <c r="I44" t="s">
        <v>14</v>
      </c>
      <c r="J44" s="16" t="s">
        <v>140</v>
      </c>
      <c r="K44" t="s">
        <v>108</v>
      </c>
    </row>
    <row r="45" spans="1:11" x14ac:dyDescent="0.55000000000000004">
      <c r="A45" t="s">
        <v>137</v>
      </c>
      <c r="B45" t="s">
        <v>141</v>
      </c>
      <c r="C45" t="s">
        <v>142</v>
      </c>
      <c r="D45">
        <v>7</v>
      </c>
      <c r="E45" s="4">
        <v>578.48</v>
      </c>
      <c r="F45" s="4">
        <f>Table3[[#This Row],[Cost]]/Table3[[#This Row],[Qty Purchased]]</f>
        <v>82.64</v>
      </c>
      <c r="I45" t="s">
        <v>14</v>
      </c>
      <c r="J45" s="16" t="s">
        <v>143</v>
      </c>
      <c r="K45" t="s">
        <v>108</v>
      </c>
    </row>
    <row r="46" spans="1:11" x14ac:dyDescent="0.55000000000000004">
      <c r="A46" t="s">
        <v>137</v>
      </c>
      <c r="B46" t="s">
        <v>144</v>
      </c>
      <c r="C46" t="s">
        <v>145</v>
      </c>
      <c r="D46">
        <v>13</v>
      </c>
      <c r="E46" s="4">
        <v>923.45</v>
      </c>
      <c r="F46" s="4">
        <f>Table3[[#This Row],[Cost]]/Table3[[#This Row],[Qty Purchased]]</f>
        <v>71.034615384615392</v>
      </c>
      <c r="I46" t="s">
        <v>14</v>
      </c>
      <c r="J46" t="s">
        <v>146</v>
      </c>
      <c r="K46" t="s">
        <v>108</v>
      </c>
    </row>
    <row r="47" spans="1:11" x14ac:dyDescent="0.55000000000000004">
      <c r="A47" t="s">
        <v>137</v>
      </c>
      <c r="B47" t="s">
        <v>147</v>
      </c>
      <c r="C47" t="s">
        <v>148</v>
      </c>
      <c r="D47">
        <v>1</v>
      </c>
      <c r="E47" s="4">
        <v>28.96</v>
      </c>
      <c r="F47" s="4">
        <f>Table3[[#This Row],[Cost]]/Table3[[#This Row],[Qty Purchased]]</f>
        <v>28.96</v>
      </c>
      <c r="I47" t="s">
        <v>149</v>
      </c>
      <c r="J47" t="s">
        <v>150</v>
      </c>
      <c r="K47" t="s">
        <v>108</v>
      </c>
    </row>
    <row r="48" spans="1:11" x14ac:dyDescent="0.55000000000000004">
      <c r="A48" t="s">
        <v>137</v>
      </c>
      <c r="B48" t="s">
        <v>151</v>
      </c>
      <c r="C48" t="s">
        <v>152</v>
      </c>
      <c r="D48">
        <v>1</v>
      </c>
      <c r="E48" s="4">
        <v>119</v>
      </c>
      <c r="F48" s="4">
        <f>Table3[[#This Row],[Cost]]/Table3[[#This Row],[Qty Purchased]]</f>
        <v>119</v>
      </c>
      <c r="I48" t="s">
        <v>149</v>
      </c>
      <c r="J48" t="s">
        <v>153</v>
      </c>
      <c r="K48" t="s">
        <v>108</v>
      </c>
    </row>
    <row r="49" spans="1:11" x14ac:dyDescent="0.55000000000000004">
      <c r="A49" t="s">
        <v>154</v>
      </c>
      <c r="B49" t="s">
        <v>155</v>
      </c>
      <c r="C49" t="s">
        <v>156</v>
      </c>
      <c r="D49">
        <v>40</v>
      </c>
      <c r="E49" s="4">
        <v>18.920000000000002</v>
      </c>
      <c r="F49" s="4">
        <f>Table3[[#This Row],[Cost]]/Table3[[#This Row],[Qty Purchased]]</f>
        <v>0.47300000000000003</v>
      </c>
      <c r="G49">
        <v>2</v>
      </c>
      <c r="I49" t="s">
        <v>14</v>
      </c>
      <c r="J49" s="16" t="s">
        <v>157</v>
      </c>
      <c r="K49" t="s">
        <v>108</v>
      </c>
    </row>
    <row r="50" spans="1:11" x14ac:dyDescent="0.55000000000000004">
      <c r="A50" t="s">
        <v>154</v>
      </c>
      <c r="B50" t="s">
        <v>155</v>
      </c>
      <c r="C50" t="s">
        <v>158</v>
      </c>
      <c r="D50">
        <v>16</v>
      </c>
      <c r="E50" s="4">
        <v>26.66</v>
      </c>
      <c r="F50" s="4">
        <f>Table3[[#This Row],[Cost]]/Table3[[#This Row],[Qty Purchased]]</f>
        <v>1.66625</v>
      </c>
      <c r="G50">
        <v>1</v>
      </c>
      <c r="I50" t="s">
        <v>14</v>
      </c>
      <c r="J50" s="16" t="s">
        <v>159</v>
      </c>
      <c r="K50" t="s">
        <v>108</v>
      </c>
    </row>
    <row r="51" spans="1:11" x14ac:dyDescent="0.55000000000000004">
      <c r="A51" t="s">
        <v>154</v>
      </c>
      <c r="B51" t="s">
        <v>160</v>
      </c>
      <c r="C51" t="s">
        <v>161</v>
      </c>
      <c r="D51">
        <v>18</v>
      </c>
      <c r="E51" s="4">
        <v>61.9</v>
      </c>
      <c r="F51" s="4">
        <f>Table3[[#This Row],[Cost]]/Table3[[#This Row],[Qty Purchased]]</f>
        <v>3.4388888888888887</v>
      </c>
      <c r="G51">
        <v>1</v>
      </c>
      <c r="I51" t="s">
        <v>14</v>
      </c>
      <c r="J51" s="16" t="s">
        <v>162</v>
      </c>
      <c r="K51" t="s">
        <v>108</v>
      </c>
    </row>
    <row r="52" spans="1:11" x14ac:dyDescent="0.55000000000000004">
      <c r="A52" t="s">
        <v>154</v>
      </c>
      <c r="B52" t="s">
        <v>163</v>
      </c>
      <c r="C52" t="s">
        <v>164</v>
      </c>
      <c r="D52">
        <v>18</v>
      </c>
      <c r="E52" s="4">
        <v>83.2</v>
      </c>
      <c r="F52" s="4">
        <f>Table3[[#This Row],[Cost]]/Table3[[#This Row],[Qty Purchased]]</f>
        <v>4.6222222222222227</v>
      </c>
      <c r="G52">
        <v>1</v>
      </c>
      <c r="I52" t="s">
        <v>14</v>
      </c>
      <c r="J52" s="16" t="s">
        <v>165</v>
      </c>
      <c r="K52" t="s">
        <v>108</v>
      </c>
    </row>
    <row r="53" spans="1:11" x14ac:dyDescent="0.55000000000000004">
      <c r="A53" t="s">
        <v>154</v>
      </c>
      <c r="B53" t="s">
        <v>166</v>
      </c>
      <c r="C53" t="s">
        <v>167</v>
      </c>
      <c r="D53">
        <v>8</v>
      </c>
      <c r="E53" s="4">
        <v>114.45</v>
      </c>
      <c r="F53" s="4">
        <f>Table3[[#This Row],[Cost]]/Table3[[#This Row],[Qty Purchased]]</f>
        <v>14.30625</v>
      </c>
      <c r="G53">
        <v>1</v>
      </c>
      <c r="I53" t="s">
        <v>14</v>
      </c>
      <c r="J53" s="16" t="s">
        <v>168</v>
      </c>
      <c r="K53" t="s">
        <v>108</v>
      </c>
    </row>
    <row r="54" spans="1:11" x14ac:dyDescent="0.55000000000000004">
      <c r="A54" t="s">
        <v>154</v>
      </c>
      <c r="B54" t="s">
        <v>169</v>
      </c>
      <c r="C54" t="s">
        <v>170</v>
      </c>
      <c r="D54">
        <v>18</v>
      </c>
      <c r="E54" s="4">
        <v>78.13</v>
      </c>
      <c r="F54" s="4">
        <f>Table3[[#This Row],[Cost]]/Table3[[#This Row],[Qty Purchased]]</f>
        <v>4.3405555555555555</v>
      </c>
      <c r="G54">
        <v>1</v>
      </c>
      <c r="I54" t="s">
        <v>14</v>
      </c>
      <c r="J54" s="16" t="s">
        <v>171</v>
      </c>
      <c r="K54" t="s">
        <v>108</v>
      </c>
    </row>
    <row r="55" spans="1:11" x14ac:dyDescent="0.55000000000000004">
      <c r="A55" t="s">
        <v>154</v>
      </c>
      <c r="B55" t="s">
        <v>172</v>
      </c>
      <c r="C55" t="s">
        <v>173</v>
      </c>
      <c r="D55">
        <v>10</v>
      </c>
      <c r="E55" s="4">
        <v>19.71</v>
      </c>
      <c r="F55" s="4">
        <f>Table3[[#This Row],[Cost]]/Table3[[#This Row],[Qty Purchased]]</f>
        <v>1.9710000000000001</v>
      </c>
      <c r="I55" t="s">
        <v>14</v>
      </c>
      <c r="J55" s="16" t="s">
        <v>174</v>
      </c>
      <c r="K55" t="s">
        <v>108</v>
      </c>
    </row>
    <row r="56" spans="1:11" x14ac:dyDescent="0.55000000000000004">
      <c r="A56" t="s">
        <v>154</v>
      </c>
      <c r="B56" t="s">
        <v>175</v>
      </c>
      <c r="C56" t="s">
        <v>176</v>
      </c>
      <c r="D56">
        <v>10</v>
      </c>
      <c r="E56" s="4">
        <v>120.49</v>
      </c>
      <c r="F56" s="4">
        <f>Table3[[#This Row],[Cost]]/Table3[[#This Row],[Qty Purchased]]</f>
        <v>12.048999999999999</v>
      </c>
      <c r="I56" t="s">
        <v>14</v>
      </c>
      <c r="J56" s="16" t="s">
        <v>177</v>
      </c>
      <c r="K56" t="s">
        <v>108</v>
      </c>
    </row>
    <row r="57" spans="1:11" x14ac:dyDescent="0.55000000000000004">
      <c r="A57" t="s">
        <v>154</v>
      </c>
      <c r="B57" t="s">
        <v>178</v>
      </c>
      <c r="C57" t="s">
        <v>179</v>
      </c>
      <c r="D57">
        <v>20</v>
      </c>
      <c r="E57" s="4">
        <v>67.92</v>
      </c>
      <c r="F57" s="4">
        <f>Table3[[#This Row],[Cost]]/Table3[[#This Row],[Qty Purchased]]</f>
        <v>3.3959999999999999</v>
      </c>
      <c r="G57">
        <v>1</v>
      </c>
      <c r="I57" t="s">
        <v>25</v>
      </c>
      <c r="J57">
        <v>242386</v>
      </c>
      <c r="K57" t="s">
        <v>108</v>
      </c>
    </row>
    <row r="58" spans="1:11" x14ac:dyDescent="0.55000000000000004">
      <c r="A58" t="s">
        <v>154</v>
      </c>
      <c r="B58" t="s">
        <v>180</v>
      </c>
      <c r="C58" t="s">
        <v>181</v>
      </c>
      <c r="D58">
        <v>5</v>
      </c>
      <c r="E58" s="4">
        <v>28.4</v>
      </c>
      <c r="F58" s="4">
        <f>Table3[[#This Row],[Cost]]/Table3[[#This Row],[Qty Purchased]]</f>
        <v>5.68</v>
      </c>
      <c r="I58" t="s">
        <v>25</v>
      </c>
      <c r="J58">
        <v>251206</v>
      </c>
      <c r="K58" t="s">
        <v>108</v>
      </c>
    </row>
    <row r="59" spans="1:11" x14ac:dyDescent="0.55000000000000004">
      <c r="A59" t="s">
        <v>154</v>
      </c>
      <c r="B59" t="s">
        <v>182</v>
      </c>
      <c r="C59" t="s">
        <v>181</v>
      </c>
      <c r="D59">
        <v>10</v>
      </c>
      <c r="E59" s="4">
        <v>49.8</v>
      </c>
      <c r="F59" s="4">
        <f>Table3[[#This Row],[Cost]]/Table3[[#This Row],[Qty Purchased]]</f>
        <v>4.9799999999999995</v>
      </c>
      <c r="I59" t="s">
        <v>25</v>
      </c>
      <c r="J59">
        <v>394777</v>
      </c>
      <c r="K59" t="s">
        <v>108</v>
      </c>
    </row>
    <row r="60" spans="1:11" x14ac:dyDescent="0.55000000000000004">
      <c r="A60" t="s">
        <v>154</v>
      </c>
      <c r="B60" t="s">
        <v>183</v>
      </c>
      <c r="C60" t="s">
        <v>181</v>
      </c>
      <c r="D60">
        <v>3</v>
      </c>
      <c r="E60" s="4">
        <v>18.84</v>
      </c>
      <c r="F60" s="4">
        <f>Table3[[#This Row],[Cost]]/Table3[[#This Row],[Qty Purchased]]</f>
        <v>6.28</v>
      </c>
      <c r="G60">
        <v>1</v>
      </c>
      <c r="I60" t="s">
        <v>25</v>
      </c>
      <c r="J60">
        <v>277326</v>
      </c>
      <c r="K60" t="s">
        <v>108</v>
      </c>
    </row>
    <row r="61" spans="1:11" x14ac:dyDescent="0.55000000000000004">
      <c r="A61" t="s">
        <v>154</v>
      </c>
      <c r="B61" t="s">
        <v>184</v>
      </c>
      <c r="C61" t="s">
        <v>185</v>
      </c>
      <c r="D61">
        <v>16</v>
      </c>
      <c r="E61" s="4">
        <v>120.48</v>
      </c>
      <c r="F61" s="4">
        <f>Table3[[#This Row],[Cost]]/Table3[[#This Row],[Qty Purchased]]</f>
        <v>7.53</v>
      </c>
      <c r="G61">
        <v>1</v>
      </c>
      <c r="I61" t="s">
        <v>25</v>
      </c>
      <c r="J61">
        <v>319104</v>
      </c>
      <c r="K61" t="s">
        <v>108</v>
      </c>
    </row>
    <row r="62" spans="1:11" x14ac:dyDescent="0.55000000000000004">
      <c r="A62" t="s">
        <v>66</v>
      </c>
      <c r="B62" t="s">
        <v>222</v>
      </c>
      <c r="D62">
        <v>4</v>
      </c>
      <c r="E62" s="4">
        <v>0</v>
      </c>
      <c r="F62" s="4">
        <f>Table3[[#This Row],[Cost]]/Table3[[#This Row],[Qty Purchased]]</f>
        <v>0</v>
      </c>
      <c r="I62" t="s">
        <v>223</v>
      </c>
      <c r="K62" t="s">
        <v>108</v>
      </c>
    </row>
    <row r="63" spans="1:11" x14ac:dyDescent="0.55000000000000004">
      <c r="A63" t="s">
        <v>11</v>
      </c>
      <c r="B63" t="s">
        <v>225</v>
      </c>
      <c r="C63" t="s">
        <v>226</v>
      </c>
      <c r="D63">
        <v>8</v>
      </c>
      <c r="E63" s="4">
        <v>227.94</v>
      </c>
      <c r="F63" s="17">
        <f>Table3[[#This Row],[Cost]]/Table3[[#This Row],[Qty Purchased]]</f>
        <v>28.4925</v>
      </c>
      <c r="I63" t="s">
        <v>227</v>
      </c>
      <c r="J63" t="s">
        <v>228</v>
      </c>
      <c r="K63" t="s">
        <v>16</v>
      </c>
    </row>
    <row r="64" spans="1:11" x14ac:dyDescent="0.55000000000000004">
      <c r="E64" s="4">
        <f>SUM(E2:E63)</f>
        <v>5454.2199999999984</v>
      </c>
    </row>
  </sheetData>
  <hyperlinks>
    <hyperlink ref="J9" r:id="rId1" xr:uid="{9CDF483F-3CE7-4F95-B325-B9556F8E28D0}"/>
    <hyperlink ref="J2" r:id="rId2" xr:uid="{08B8DCBE-6DA1-4A37-822C-7D4027C0E48C}"/>
    <hyperlink ref="J3" r:id="rId3" xr:uid="{1542F918-45A6-4AFD-9BAD-7E9578ECA185}"/>
    <hyperlink ref="J4" r:id="rId4" xr:uid="{3EEE634D-85DA-4113-8E7E-53320DBF939C}"/>
    <hyperlink ref="J10" r:id="rId5" xr:uid="{A45446D7-CBC8-4F4D-B992-699887F95644}"/>
    <hyperlink ref="J11" r:id="rId6" xr:uid="{75DF7396-7CD3-4304-90E5-64D4E7EA640E}"/>
    <hyperlink ref="J33" r:id="rId7" xr:uid="{C560A6D2-86E5-497C-A769-D71A75A2BC55}"/>
    <hyperlink ref="J34" r:id="rId8" xr:uid="{5029785A-C11E-4B91-AC88-3FE8105C1AA2}"/>
    <hyperlink ref="J35" r:id="rId9" xr:uid="{B77B0DBA-A4F4-465B-B8FD-7FBF5E353166}"/>
    <hyperlink ref="J36" r:id="rId10" xr:uid="{386EDA40-46C0-453B-81DC-AE1595F0DA0E}"/>
    <hyperlink ref="J37" r:id="rId11" xr:uid="{3FB2E415-705C-4C81-AD3F-54B400E57E82}"/>
    <hyperlink ref="J38" r:id="rId12" xr:uid="{A6E2EC87-83C5-4008-BF4E-B48B3DBE6A37}"/>
    <hyperlink ref="J39" r:id="rId13" xr:uid="{4FEE96C8-3F3D-4C43-8B3F-82BD487B4E96}"/>
    <hyperlink ref="J40" r:id="rId14" xr:uid="{A2A9EBA7-E3A7-43C7-AED4-F485A1E1D93F}"/>
    <hyperlink ref="J41" r:id="rId15" xr:uid="{AF33E33D-3513-454C-87E2-52A8764FBEC0}"/>
    <hyperlink ref="J42" r:id="rId16" xr:uid="{28F5A6FA-7DD7-447D-9B13-91941A2ED72F}"/>
    <hyperlink ref="J43" r:id="rId17" xr:uid="{99EC1371-3231-4136-B3F1-D97181F687B1}"/>
    <hyperlink ref="J19" r:id="rId18" xr:uid="{C3E0B4CB-737B-4BAA-B1AA-1013D600107B}"/>
    <hyperlink ref="J20" r:id="rId19" xr:uid="{588A3680-2E70-463E-ACDF-7777C1EE9275}"/>
    <hyperlink ref="J21" r:id="rId20" xr:uid="{7B6FEFB3-CD7A-49EA-BEE1-BCF43B366CC9}"/>
    <hyperlink ref="J22" r:id="rId21" xr:uid="{3C2F4DA3-D890-424B-B5AD-3911C7D079AB}"/>
    <hyperlink ref="J23" r:id="rId22" xr:uid="{9FC059D5-F9E4-46CE-B323-139B082E1475}"/>
    <hyperlink ref="J24" r:id="rId23" xr:uid="{FD818162-7DB0-46DF-AEDE-69CDBE16C980}"/>
    <hyperlink ref="J27" r:id="rId24" xr:uid="{C0F43CA9-CDC8-4AC2-BE76-A0AC6DF8AAD2}"/>
    <hyperlink ref="J30" r:id="rId25" xr:uid="{0042BBE2-DAE3-40E0-B4DB-50857ABEFC70}"/>
    <hyperlink ref="J25" r:id="rId26" xr:uid="{A19128C8-E062-414C-92F8-5DD1C803E3E3}"/>
    <hyperlink ref="J26" r:id="rId27" xr:uid="{46055ED5-60CE-49EA-AE8C-B12DC446443E}"/>
    <hyperlink ref="J28" r:id="rId28" xr:uid="{12D18110-B73F-40B2-A726-03CF54209154}"/>
    <hyperlink ref="J29" r:id="rId29" xr:uid="{0AAC89F5-DC87-4EAD-903A-1AD3F7EEBC42}"/>
    <hyperlink ref="J44" r:id="rId30" xr:uid="{29437F5B-B225-4140-9B36-4AD33A67EE53}"/>
    <hyperlink ref="J45" r:id="rId31" xr:uid="{9889CC8F-08A5-4EE3-9202-28AFAF04EB89}"/>
    <hyperlink ref="J49" r:id="rId32" xr:uid="{CE6DF1C2-CDF3-4F9B-8B97-2DC427FDC646}"/>
    <hyperlink ref="J50" r:id="rId33" xr:uid="{FA18051F-7FAC-438B-BF31-0449B22A0200}"/>
    <hyperlink ref="J51" r:id="rId34" xr:uid="{ABD016C8-1161-4D95-A93E-E0EB3DD374E8}"/>
    <hyperlink ref="J52" r:id="rId35" xr:uid="{C7434C17-7C2A-4253-9874-9B671E09ED73}"/>
    <hyperlink ref="J53" r:id="rId36" xr:uid="{2C02EB16-20A0-405E-A09B-EA98530E698B}"/>
    <hyperlink ref="J54" r:id="rId37" xr:uid="{A8D3EBBA-D4DD-49D7-A58E-6339D59FB3D7}"/>
    <hyperlink ref="J55" r:id="rId38" xr:uid="{24BC0342-5869-482D-A85D-69051EFA0EEB}"/>
    <hyperlink ref="J56" r:id="rId39" xr:uid="{F8BA662B-9F01-4892-A937-F9191606D5BB}"/>
    <hyperlink ref="J13" r:id="rId40" xr:uid="{189D17B5-8430-49A0-A6B8-357FDD83CEAC}"/>
    <hyperlink ref="J14" r:id="rId41" xr:uid="{FC58A606-5E60-4F1A-BBDA-3D569C02191C}"/>
    <hyperlink ref="J15" r:id="rId42" xr:uid="{1E090EA1-63EC-408B-A95E-81D7A75DF627}"/>
    <hyperlink ref="J12" r:id="rId43" xr:uid="{8F27AC7E-F6E9-4EB2-8BB7-649D5267B8BB}"/>
    <hyperlink ref="J32" r:id="rId44" xr:uid="{823A337E-8C44-4B73-B95C-C4374575D1C2}"/>
  </hyperlinks>
  <pageMargins left="0.7" right="0.7" top="0.75" bottom="0.75" header="0.3" footer="0.3"/>
  <tableParts count="1">
    <tablePart r:id="rId4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25E14-EF1A-46D6-8E15-39AFE44261CA}">
  <dimension ref="A1:R12"/>
  <sheetViews>
    <sheetView workbookViewId="0">
      <selection activeCell="E23" sqref="E23"/>
    </sheetView>
  </sheetViews>
  <sheetFormatPr defaultRowHeight="14.4" x14ac:dyDescent="0.55000000000000004"/>
  <cols>
    <col min="1" max="1" width="11.15625" customWidth="1"/>
  </cols>
  <sheetData>
    <row r="1" spans="1:18" x14ac:dyDescent="0.55000000000000004">
      <c r="A1" s="5" t="s">
        <v>186</v>
      </c>
      <c r="B1" s="5" t="s">
        <v>187</v>
      </c>
      <c r="C1" s="5" t="s">
        <v>188</v>
      </c>
      <c r="D1" s="5" t="s">
        <v>5</v>
      </c>
      <c r="E1" s="6" t="s">
        <v>189</v>
      </c>
      <c r="F1" s="7" t="s">
        <v>190</v>
      </c>
      <c r="G1" s="8" t="s">
        <v>4</v>
      </c>
      <c r="H1" s="6" t="s">
        <v>16</v>
      </c>
      <c r="I1" s="7" t="s">
        <v>191</v>
      </c>
      <c r="J1" s="8" t="s">
        <v>192</v>
      </c>
      <c r="K1" s="6" t="s">
        <v>193</v>
      </c>
      <c r="L1" s="7" t="s">
        <v>194</v>
      </c>
      <c r="M1" s="8" t="s">
        <v>195</v>
      </c>
      <c r="N1" s="6" t="s">
        <v>196</v>
      </c>
      <c r="O1" s="8" t="s">
        <v>197</v>
      </c>
      <c r="P1" s="5" t="s">
        <v>198</v>
      </c>
      <c r="Q1" s="5" t="s">
        <v>199</v>
      </c>
      <c r="R1" s="5" t="s">
        <v>200</v>
      </c>
    </row>
    <row r="2" spans="1:18" x14ac:dyDescent="0.55000000000000004">
      <c r="A2" s="9" t="s">
        <v>201</v>
      </c>
      <c r="B2" s="9" t="s">
        <v>202</v>
      </c>
      <c r="C2" s="9">
        <v>12.824999999999999</v>
      </c>
      <c r="D2" s="10">
        <v>0.13</v>
      </c>
      <c r="E2" s="11">
        <v>0</v>
      </c>
      <c r="F2" s="9">
        <v>0</v>
      </c>
      <c r="G2" s="12" t="s">
        <v>203</v>
      </c>
      <c r="H2" s="11">
        <v>20</v>
      </c>
      <c r="I2" s="9">
        <v>320</v>
      </c>
      <c r="J2" s="13">
        <v>41.6</v>
      </c>
      <c r="K2" s="11">
        <v>0</v>
      </c>
      <c r="L2" s="9">
        <v>0</v>
      </c>
      <c r="M2" s="12" t="s">
        <v>203</v>
      </c>
      <c r="N2" s="11">
        <v>200</v>
      </c>
      <c r="O2" s="13">
        <v>26</v>
      </c>
      <c r="P2" s="9">
        <v>520</v>
      </c>
      <c r="Q2" s="9">
        <v>1790</v>
      </c>
      <c r="R2" s="10">
        <v>67.599999999999994</v>
      </c>
    </row>
    <row r="3" spans="1:18" x14ac:dyDescent="0.55000000000000004">
      <c r="A3" s="9" t="s">
        <v>204</v>
      </c>
      <c r="B3" s="9" t="s">
        <v>205</v>
      </c>
      <c r="C3" s="9">
        <v>12.824999999999999</v>
      </c>
      <c r="D3" s="10">
        <v>0.13</v>
      </c>
      <c r="E3" s="11">
        <v>0</v>
      </c>
      <c r="F3" s="9">
        <v>0</v>
      </c>
      <c r="G3" s="12" t="s">
        <v>203</v>
      </c>
      <c r="H3" s="11">
        <v>25</v>
      </c>
      <c r="I3" s="9">
        <v>400</v>
      </c>
      <c r="J3" s="13">
        <v>52</v>
      </c>
      <c r="K3" s="11">
        <v>6</v>
      </c>
      <c r="L3" s="9">
        <v>300</v>
      </c>
      <c r="M3" s="13">
        <v>39</v>
      </c>
      <c r="N3" s="11">
        <v>200</v>
      </c>
      <c r="O3" s="13">
        <v>26</v>
      </c>
      <c r="P3" s="9">
        <v>900</v>
      </c>
      <c r="Q3" s="9">
        <v>3500</v>
      </c>
      <c r="R3" s="10">
        <v>117</v>
      </c>
    </row>
    <row r="4" spans="1:18" x14ac:dyDescent="0.55000000000000004">
      <c r="A4" s="9" t="s">
        <v>206</v>
      </c>
      <c r="B4" s="9" t="s">
        <v>207</v>
      </c>
      <c r="C4" s="9">
        <v>12.824999999999999</v>
      </c>
      <c r="D4" s="10">
        <v>0.13</v>
      </c>
      <c r="E4" s="11">
        <v>10</v>
      </c>
      <c r="F4" s="9">
        <v>120</v>
      </c>
      <c r="G4" s="13">
        <v>15.6</v>
      </c>
      <c r="H4" s="11">
        <v>15</v>
      </c>
      <c r="I4" s="9">
        <v>240</v>
      </c>
      <c r="J4" s="13">
        <v>31.2</v>
      </c>
      <c r="K4" s="11">
        <v>0</v>
      </c>
      <c r="L4" s="9">
        <v>0</v>
      </c>
      <c r="M4" s="12" t="s">
        <v>203</v>
      </c>
      <c r="N4" s="11">
        <v>190</v>
      </c>
      <c r="O4" s="13">
        <v>24.7</v>
      </c>
      <c r="P4" s="9">
        <v>550</v>
      </c>
      <c r="Q4" s="9">
        <v>550</v>
      </c>
      <c r="R4" s="10">
        <v>71.5</v>
      </c>
    </row>
    <row r="5" spans="1:18" x14ac:dyDescent="0.55000000000000004">
      <c r="A5" s="9" t="s">
        <v>208</v>
      </c>
      <c r="B5" s="9" t="s">
        <v>209</v>
      </c>
      <c r="C5" s="9">
        <v>13.2525</v>
      </c>
      <c r="D5" s="10">
        <v>0.13</v>
      </c>
      <c r="E5" s="11">
        <v>14</v>
      </c>
      <c r="F5" s="9">
        <v>168</v>
      </c>
      <c r="G5" s="13">
        <v>21.84</v>
      </c>
      <c r="H5" s="11">
        <v>25</v>
      </c>
      <c r="I5" s="9">
        <v>400</v>
      </c>
      <c r="J5" s="13">
        <v>52</v>
      </c>
      <c r="K5" s="11">
        <v>4</v>
      </c>
      <c r="L5" s="9">
        <v>200</v>
      </c>
      <c r="M5" s="13">
        <v>26</v>
      </c>
      <c r="N5" s="11">
        <v>220</v>
      </c>
      <c r="O5" s="13">
        <v>28.6</v>
      </c>
      <c r="P5" s="9">
        <v>988</v>
      </c>
      <c r="Q5" s="9">
        <v>992</v>
      </c>
      <c r="R5" s="10">
        <v>128.44</v>
      </c>
    </row>
    <row r="6" spans="1:18" x14ac:dyDescent="0.55000000000000004">
      <c r="A6" s="9" t="s">
        <v>210</v>
      </c>
      <c r="B6" s="9" t="s">
        <v>211</v>
      </c>
      <c r="C6" s="9">
        <v>13.68</v>
      </c>
      <c r="D6" s="10">
        <v>0.14000000000000001</v>
      </c>
      <c r="E6" s="11">
        <v>1</v>
      </c>
      <c r="F6" s="9">
        <v>12</v>
      </c>
      <c r="G6" s="13">
        <v>1.68</v>
      </c>
      <c r="H6" s="11">
        <v>8</v>
      </c>
      <c r="I6" s="9">
        <v>128</v>
      </c>
      <c r="J6" s="13">
        <v>17.920000000000002</v>
      </c>
      <c r="K6" s="11">
        <v>0</v>
      </c>
      <c r="L6" s="9">
        <v>0</v>
      </c>
      <c r="M6" s="12" t="s">
        <v>203</v>
      </c>
      <c r="N6" s="11">
        <v>0</v>
      </c>
      <c r="O6" s="12" t="s">
        <v>203</v>
      </c>
      <c r="P6" s="9">
        <v>140</v>
      </c>
      <c r="Q6" s="9">
        <v>149</v>
      </c>
      <c r="R6" s="10">
        <v>19.600000000000001</v>
      </c>
    </row>
    <row r="7" spans="1:18" x14ac:dyDescent="0.55000000000000004">
      <c r="A7" s="9" t="s">
        <v>212</v>
      </c>
      <c r="B7" s="9" t="s">
        <v>213</v>
      </c>
      <c r="C7" s="9">
        <v>13.8985</v>
      </c>
      <c r="D7" s="10">
        <v>0.14000000000000001</v>
      </c>
      <c r="E7" s="11">
        <v>0</v>
      </c>
      <c r="F7" s="9">
        <v>0</v>
      </c>
      <c r="G7" s="12" t="s">
        <v>203</v>
      </c>
      <c r="H7" s="11">
        <v>10</v>
      </c>
      <c r="I7" s="9">
        <v>160</v>
      </c>
      <c r="J7" s="13">
        <v>22.4</v>
      </c>
      <c r="K7" s="11">
        <v>0</v>
      </c>
      <c r="L7" s="9">
        <v>0</v>
      </c>
      <c r="M7" s="12" t="s">
        <v>203</v>
      </c>
      <c r="N7" s="11">
        <v>140</v>
      </c>
      <c r="O7" s="13">
        <v>19.600000000000001</v>
      </c>
      <c r="P7" s="9">
        <v>300</v>
      </c>
      <c r="Q7" s="9">
        <v>2000</v>
      </c>
      <c r="R7" s="10">
        <v>42</v>
      </c>
    </row>
    <row r="8" spans="1:18" x14ac:dyDescent="0.55000000000000004">
      <c r="A8" s="9" t="s">
        <v>214</v>
      </c>
      <c r="B8" s="9" t="s">
        <v>215</v>
      </c>
      <c r="C8" s="9">
        <v>14.1075</v>
      </c>
      <c r="D8" s="10">
        <v>0.14000000000000001</v>
      </c>
      <c r="E8" s="11">
        <v>4</v>
      </c>
      <c r="F8" s="9">
        <v>48</v>
      </c>
      <c r="G8" s="13">
        <v>6.72</v>
      </c>
      <c r="H8" s="11">
        <v>10</v>
      </c>
      <c r="I8" s="9">
        <v>160</v>
      </c>
      <c r="J8" s="13">
        <v>22.4</v>
      </c>
      <c r="K8" s="11">
        <v>0</v>
      </c>
      <c r="L8" s="9">
        <v>0</v>
      </c>
      <c r="M8" s="12" t="s">
        <v>203</v>
      </c>
      <c r="N8" s="11">
        <v>92</v>
      </c>
      <c r="O8" s="13">
        <v>12.88</v>
      </c>
      <c r="P8" s="9">
        <v>300</v>
      </c>
      <c r="Q8" s="9">
        <v>581</v>
      </c>
      <c r="R8" s="10">
        <v>42</v>
      </c>
    </row>
    <row r="9" spans="1:18" x14ac:dyDescent="0.55000000000000004">
      <c r="A9" s="9" t="s">
        <v>216</v>
      </c>
      <c r="B9" s="9" t="s">
        <v>217</v>
      </c>
      <c r="C9" s="9">
        <v>2.2799999999999998</v>
      </c>
      <c r="D9" s="10">
        <v>0.02</v>
      </c>
      <c r="E9" s="11">
        <v>0</v>
      </c>
      <c r="F9" s="9">
        <v>0</v>
      </c>
      <c r="G9" s="12" t="s">
        <v>203</v>
      </c>
      <c r="H9" s="11">
        <v>20</v>
      </c>
      <c r="I9" s="9">
        <v>320</v>
      </c>
      <c r="J9" s="13">
        <v>6.4</v>
      </c>
      <c r="K9" s="11">
        <v>0</v>
      </c>
      <c r="L9" s="9">
        <v>0</v>
      </c>
      <c r="M9" s="12" t="s">
        <v>203</v>
      </c>
      <c r="N9" s="11">
        <v>0</v>
      </c>
      <c r="O9" s="12" t="s">
        <v>203</v>
      </c>
      <c r="P9" s="9">
        <v>320</v>
      </c>
      <c r="Q9" s="9">
        <v>2000</v>
      </c>
      <c r="R9" s="10">
        <v>6.4</v>
      </c>
    </row>
    <row r="10" spans="1:18" x14ac:dyDescent="0.55000000000000004">
      <c r="A10" s="9" t="s">
        <v>218</v>
      </c>
      <c r="B10" s="9" t="s">
        <v>219</v>
      </c>
      <c r="C10" s="9">
        <v>4.18</v>
      </c>
      <c r="D10" s="10">
        <v>0.04</v>
      </c>
      <c r="E10" s="11">
        <v>23</v>
      </c>
      <c r="F10" s="9">
        <v>276</v>
      </c>
      <c r="G10" s="13">
        <v>11.04</v>
      </c>
      <c r="H10" s="11">
        <v>20</v>
      </c>
      <c r="I10" s="9">
        <v>320</v>
      </c>
      <c r="J10" s="13">
        <v>12.8</v>
      </c>
      <c r="K10" s="11">
        <v>0</v>
      </c>
      <c r="L10" s="9">
        <v>0</v>
      </c>
      <c r="M10" s="12" t="s">
        <v>203</v>
      </c>
      <c r="N10" s="11">
        <v>0</v>
      </c>
      <c r="O10" s="12" t="s">
        <v>203</v>
      </c>
      <c r="P10" s="9">
        <v>596</v>
      </c>
      <c r="Q10" s="9">
        <v>2000</v>
      </c>
      <c r="R10" s="10">
        <v>23.84</v>
      </c>
    </row>
    <row r="11" spans="1:18" x14ac:dyDescent="0.55000000000000004">
      <c r="A11" s="9" t="s">
        <v>220</v>
      </c>
      <c r="B11" s="9" t="s">
        <v>221</v>
      </c>
      <c r="C11" s="9">
        <v>4.5599999999999996</v>
      </c>
      <c r="D11" s="10">
        <v>0.05</v>
      </c>
      <c r="E11" s="14">
        <v>5</v>
      </c>
      <c r="F11" s="15">
        <v>60</v>
      </c>
      <c r="G11" s="13">
        <v>3</v>
      </c>
      <c r="H11" s="14">
        <v>10</v>
      </c>
      <c r="I11" s="15">
        <v>160</v>
      </c>
      <c r="J11" s="13">
        <v>8</v>
      </c>
      <c r="K11" s="14">
        <v>0</v>
      </c>
      <c r="L11" s="15">
        <v>0</v>
      </c>
      <c r="M11" s="12" t="s">
        <v>203</v>
      </c>
      <c r="N11" s="14">
        <v>0</v>
      </c>
      <c r="O11" s="12" t="s">
        <v>203</v>
      </c>
      <c r="P11" s="9">
        <v>220</v>
      </c>
      <c r="Q11" s="9">
        <v>2000</v>
      </c>
      <c r="R11" s="10">
        <v>11</v>
      </c>
    </row>
    <row r="12" spans="1:18" x14ac:dyDescent="0.55000000000000004">
      <c r="A12" s="9"/>
      <c r="B12" s="9"/>
      <c r="C12" s="9"/>
      <c r="D12" s="9"/>
      <c r="E12" s="9"/>
      <c r="F12" s="9"/>
      <c r="G12" s="13">
        <v>59.88</v>
      </c>
      <c r="H12" s="9"/>
      <c r="I12" s="9"/>
      <c r="J12" s="10">
        <v>266.72000000000003</v>
      </c>
      <c r="K12" s="9"/>
      <c r="L12" s="9"/>
      <c r="M12" s="10">
        <v>65</v>
      </c>
      <c r="N12" s="9"/>
      <c r="O12" s="10">
        <v>137.78</v>
      </c>
      <c r="P12" s="9"/>
      <c r="Q12" s="9"/>
      <c r="R12" s="10">
        <v>529.38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e205d23-bb88-4405-93ee-23ccfcf12ed1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3752182ACFBE41971A725A918C8A17" ma:contentTypeVersion="16" ma:contentTypeDescription="Create a new document." ma:contentTypeScope="" ma:versionID="129b7fbdfd647bf264167f30b5e82aba">
  <xsd:schema xmlns:xsd="http://www.w3.org/2001/XMLSchema" xmlns:xs="http://www.w3.org/2001/XMLSchema" xmlns:p="http://schemas.microsoft.com/office/2006/metadata/properties" xmlns:ns3="8e205d23-bb88-4405-93ee-23ccfcf12ed1" xmlns:ns4="db59aa5b-9096-4544-8a3c-22b44af8cff2" targetNamespace="http://schemas.microsoft.com/office/2006/metadata/properties" ma:root="true" ma:fieldsID="42558d2f52bbd9ddf71647e09c2ced40" ns3:_="" ns4:_="">
    <xsd:import namespace="8e205d23-bb88-4405-93ee-23ccfcf12ed1"/>
    <xsd:import namespace="db59aa5b-9096-4544-8a3c-22b44af8cff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205d23-bb88-4405-93ee-23ccfcf12e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9aa5b-9096-4544-8a3c-22b44af8cff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F66314-669C-4652-98C4-F2DCCF8CBA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41FDAC-BA5E-471A-B640-BDEBD8E5367B}">
  <ds:schemaRefs>
    <ds:schemaRef ds:uri="http://schemas.microsoft.com/office/2006/documentManagement/types"/>
    <ds:schemaRef ds:uri="db59aa5b-9096-4544-8a3c-22b44af8cff2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8e205d23-bb88-4405-93ee-23ccfcf12ed1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13FFDED-8326-4210-831A-A26A11081EA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FF62155-35EE-463E-8AC0-E913B9B769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205d23-bb88-4405-93ee-23ccfcf12ed1"/>
    <ds:schemaRef ds:uri="db59aa5b-9096-4544-8a3c-22b44af8cf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20f5dc3-9452-48e5-9b4f-888df42f7a2d}" enabled="0" method="" siteId="{220f5dc3-9452-48e5-9b4f-888df42f7a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Fasteners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Alicia SIM</dc:creator>
  <cp:keywords/>
  <dc:description/>
  <cp:lastModifiedBy>Alicia Sim</cp:lastModifiedBy>
  <cp:revision/>
  <dcterms:created xsi:type="dcterms:W3CDTF">2025-01-27T22:39:21Z</dcterms:created>
  <dcterms:modified xsi:type="dcterms:W3CDTF">2025-01-29T03:11:44Z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0x010100C33752182ACFBE41971A725A918C8A17</vt:lpwstr>
  </property>
</Properties>
</file>